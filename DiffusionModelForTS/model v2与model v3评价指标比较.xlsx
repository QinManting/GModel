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rl_code\GModel\DiffusionModelForTS\"/>
    </mc:Choice>
  </mc:AlternateContent>
  <xr:revisionPtr revIDLastSave="0" documentId="13_ncr:1_{803596E7-DEA2-4F91-B39D-1AF0A8C59403}" xr6:coauthVersionLast="47" xr6:coauthVersionMax="47" xr10:uidLastSave="{00000000-0000-0000-0000-000000000000}"/>
  <bookViews>
    <workbookView xWindow="-110" yWindow="-110" windowWidth="34620" windowHeight="14020" activeTab="2" xr2:uid="{560A1CE5-49F7-4BCF-AE7E-803980CD759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3" l="1"/>
  <c r="N25" i="3"/>
  <c r="O24" i="3"/>
  <c r="N24" i="3"/>
  <c r="O23" i="3"/>
  <c r="N23" i="3"/>
  <c r="O22" i="3"/>
  <c r="N22" i="3"/>
  <c r="G22" i="3"/>
  <c r="O21" i="3"/>
  <c r="N21" i="3"/>
  <c r="O20" i="3"/>
  <c r="N20" i="3"/>
  <c r="O19" i="3"/>
  <c r="N19" i="3"/>
  <c r="O18" i="3"/>
  <c r="N18" i="3"/>
  <c r="I18" i="3"/>
  <c r="G18" i="3"/>
  <c r="E18" i="3"/>
  <c r="O17" i="3"/>
  <c r="N17" i="3"/>
  <c r="O16" i="3"/>
  <c r="N16" i="3"/>
  <c r="O15" i="3"/>
  <c r="N15" i="3"/>
  <c r="O14" i="3"/>
  <c r="N14" i="3"/>
  <c r="G14" i="3"/>
  <c r="O13" i="3"/>
  <c r="N13" i="3"/>
  <c r="O12" i="3"/>
  <c r="N12" i="3"/>
  <c r="O11" i="3"/>
  <c r="N11" i="3"/>
  <c r="O10" i="3"/>
  <c r="N10" i="3"/>
  <c r="I10" i="3"/>
  <c r="G10" i="3"/>
  <c r="E10" i="3"/>
  <c r="O9" i="3"/>
  <c r="N9" i="3"/>
  <c r="O8" i="3"/>
  <c r="N8" i="3"/>
  <c r="O7" i="3"/>
  <c r="N7" i="3"/>
  <c r="O6" i="3"/>
  <c r="N6" i="3"/>
  <c r="G6" i="3"/>
  <c r="O5" i="3"/>
  <c r="N5" i="3"/>
  <c r="O4" i="3"/>
  <c r="N4" i="3"/>
  <c r="O3" i="3"/>
  <c r="N3" i="3"/>
  <c r="O2" i="3"/>
  <c r="N2" i="3"/>
  <c r="I2" i="3"/>
  <c r="G2" i="3"/>
  <c r="E2" i="3"/>
  <c r="G22" i="2"/>
  <c r="G18" i="2"/>
  <c r="G14" i="2"/>
  <c r="G10" i="2"/>
  <c r="G2" i="2"/>
  <c r="G6" i="2"/>
  <c r="I18" i="2"/>
  <c r="I10" i="2"/>
  <c r="I2" i="2"/>
  <c r="E18" i="2"/>
  <c r="E10" i="2"/>
  <c r="E2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L15" i="1"/>
  <c r="L7" i="1"/>
  <c r="L14" i="1"/>
  <c r="L13" i="1"/>
  <c r="L5" i="1"/>
  <c r="L12" i="1"/>
  <c r="L4" i="1"/>
  <c r="L11" i="1"/>
  <c r="L3" i="1"/>
  <c r="L17" i="1"/>
  <c r="L16" i="1"/>
  <c r="L10" i="1"/>
  <c r="L9" i="1"/>
  <c r="L8" i="1"/>
  <c r="L6" i="1"/>
  <c r="L2" i="1"/>
</calcChain>
</file>

<file path=xl/sharedStrings.xml><?xml version="1.0" encoding="utf-8"?>
<sst xmlns="http://schemas.openxmlformats.org/spreadsheetml/2006/main" count="175" uniqueCount="30">
  <si>
    <t>样本</t>
    <phoneticPr fontId="1" type="noConversion"/>
  </si>
  <si>
    <t>season_0</t>
    <phoneticPr fontId="1" type="noConversion"/>
  </si>
  <si>
    <t>season_1</t>
    <phoneticPr fontId="1" type="noConversion"/>
  </si>
  <si>
    <t>season_2</t>
    <phoneticPr fontId="1" type="noConversion"/>
  </si>
  <si>
    <t>season_3</t>
    <phoneticPr fontId="1" type="noConversion"/>
  </si>
  <si>
    <t>price</t>
    <phoneticPr fontId="1" type="noConversion"/>
  </si>
  <si>
    <t>generation</t>
    <phoneticPr fontId="1" type="noConversion"/>
  </si>
  <si>
    <t>均值差绝对值
real-fake</t>
    <phoneticPr fontId="1" type="noConversion"/>
  </si>
  <si>
    <t>wasserstein
越小越好</t>
    <phoneticPr fontId="1" type="noConversion"/>
  </si>
  <si>
    <t>energy_score
越小越好</t>
    <phoneticPr fontId="1" type="noConversion"/>
  </si>
  <si>
    <t>dtw
越小越好</t>
    <phoneticPr fontId="1" type="noConversion"/>
  </si>
  <si>
    <t>awpi
越小越好</t>
    <phoneticPr fontId="1" type="noConversion"/>
  </si>
  <si>
    <t>coverage_rate
越大越好</t>
    <phoneticPr fontId="1" type="noConversion"/>
  </si>
  <si>
    <t>correlation_distance
越小越好</t>
    <phoneticPr fontId="1" type="noConversion"/>
  </si>
  <si>
    <t>conditional_mmd
越小越好</t>
    <phoneticPr fontId="1" type="noConversion"/>
  </si>
  <si>
    <t>变量</t>
    <phoneticPr fontId="1" type="noConversion"/>
  </si>
  <si>
    <t>标准差差绝对值
real-fake</t>
    <phoneticPr fontId="1" type="noConversion"/>
  </si>
  <si>
    <t>2026-05-28_16-19-50 [05-28]14.19.27 noValidateSet
23/64</t>
    <phoneticPr fontId="1" type="noConversion"/>
  </si>
  <si>
    <t>2026-05-28_14-04-23 [05-26]19.22.21 noValidateSet
41/64</t>
    <phoneticPr fontId="1" type="noConversion"/>
  </si>
  <si>
    <t>10/16</t>
    <phoneticPr fontId="1" type="noConversion"/>
  </si>
  <si>
    <t>3/16</t>
    <phoneticPr fontId="1" type="noConversion"/>
  </si>
  <si>
    <t>2/16</t>
  </si>
  <si>
    <t>8/16</t>
    <phoneticPr fontId="1" type="noConversion"/>
  </si>
  <si>
    <t>评价指标优先级由高到低</t>
    <phoneticPr fontId="1" type="noConversion"/>
  </si>
  <si>
    <t xml:space="preserve">2026-06-17_09-17-56 [06-16]19.56.10 DDPM
</t>
    <phoneticPr fontId="1" type="noConversion"/>
  </si>
  <si>
    <t>平均
conditional_mmd</t>
    <phoneticPr fontId="1" type="noConversion"/>
  </si>
  <si>
    <t>平均
correlation_distance</t>
    <phoneticPr fontId="1" type="noConversion"/>
  </si>
  <si>
    <t>平均wasserstein
上price，下generation</t>
    <phoneticPr fontId="1" type="noConversion"/>
  </si>
  <si>
    <t xml:space="preserve">2026-05-28_16-19-50 [05-28]14.19.27 noValidateSet
</t>
    <phoneticPr fontId="1" type="noConversion"/>
  </si>
  <si>
    <t xml:space="preserve">2026-05-28_14-04-23 [05-26]19.22.21 noValidateSet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</si>
</sst>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5" xfId="0" applyFont="1" applyBorder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3" fillId="0" borderId="4" xfId="0" applyFont="1" applyBorder="1">
      <alignment vertical="center"/>
    </xf>
    <xf numFmtId="0" fontId="2" fillId="0" borderId="16" xfId="0" applyFont="1" applyBorder="1">
      <alignment vertical="center"/>
    </xf>
    <xf numFmtId="0" fontId="0" fillId="0" borderId="18" xfId="0" applyBorder="1">
      <alignment vertical="center"/>
    </xf>
    <xf numFmtId="0" fontId="3" fillId="0" borderId="16" xfId="0" applyFont="1" applyBorder="1">
      <alignment vertical="center"/>
    </xf>
    <xf numFmtId="0" fontId="0" fillId="0" borderId="20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31" xfId="0" applyBorder="1" applyAlignment="1">
      <alignment vertical="center" wrapText="1"/>
    </xf>
    <xf numFmtId="0" fontId="0" fillId="0" borderId="32" xfId="0" applyBorder="1">
      <alignment vertical="center"/>
    </xf>
    <xf numFmtId="49" fontId="0" fillId="0" borderId="1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894D-25B5-4FA3-BD54-BDADB31B189E}">
  <dimension ref="A1:M19"/>
  <sheetViews>
    <sheetView workbookViewId="0">
      <pane ySplit="1" topLeftCell="A2" activePane="bottomLeft" state="frozen"/>
      <selection pane="bottomLeft" activeCell="D23" sqref="D23"/>
    </sheetView>
  </sheetViews>
  <sheetFormatPr defaultRowHeight="14" x14ac:dyDescent="0.3"/>
  <cols>
    <col min="1" max="1" width="44.6640625" customWidth="1"/>
    <col min="3" max="3" width="11.4140625" customWidth="1"/>
    <col min="4" max="4" width="15.58203125" customWidth="1"/>
    <col min="5" max="5" width="20.5" customWidth="1"/>
    <col min="6" max="6" width="16.4140625" customWidth="1"/>
    <col min="7" max="7" width="22.08203125" customWidth="1"/>
    <col min="8" max="8" width="14.58203125" customWidth="1"/>
    <col min="9" max="9" width="12.25" customWidth="1"/>
    <col min="10" max="10" width="14.08203125" customWidth="1"/>
    <col min="11" max="11" width="16.25" customWidth="1"/>
    <col min="12" max="12" width="15.33203125" customWidth="1"/>
    <col min="13" max="13" width="9.08203125" bestFit="1" customWidth="1"/>
  </cols>
  <sheetData>
    <row r="1" spans="1:13" s="4" customFormat="1" ht="37" customHeight="1" thickTop="1" thickBot="1" x14ac:dyDescent="0.35">
      <c r="A1" s="44" t="s">
        <v>0</v>
      </c>
      <c r="B1" s="45"/>
      <c r="C1" s="18" t="s">
        <v>15</v>
      </c>
      <c r="D1" s="17" t="s">
        <v>14</v>
      </c>
      <c r="E1" s="5" t="s">
        <v>8</v>
      </c>
      <c r="F1" s="5" t="s">
        <v>13</v>
      </c>
      <c r="G1" s="5" t="s">
        <v>9</v>
      </c>
      <c r="H1" s="5" t="s">
        <v>10</v>
      </c>
      <c r="I1" s="5" t="s">
        <v>12</v>
      </c>
      <c r="J1" s="5" t="s">
        <v>11</v>
      </c>
      <c r="K1" s="5" t="s">
        <v>7</v>
      </c>
      <c r="L1" s="5" t="s">
        <v>16</v>
      </c>
      <c r="M1" s="11"/>
    </row>
    <row r="2" spans="1:13" ht="14.5" thickTop="1" x14ac:dyDescent="0.3">
      <c r="A2" s="48" t="s">
        <v>17</v>
      </c>
      <c r="B2" s="38" t="s">
        <v>1</v>
      </c>
      <c r="C2" s="21" t="s">
        <v>5</v>
      </c>
      <c r="D2" s="46">
        <v>1.2363000000000001E-2</v>
      </c>
      <c r="E2" s="6">
        <v>8.8915999999999995E-2</v>
      </c>
      <c r="F2" s="28">
        <v>0.165357</v>
      </c>
      <c r="G2" s="6">
        <v>2.8666109999999998</v>
      </c>
      <c r="H2" s="2">
        <v>18.019214999999999</v>
      </c>
      <c r="I2" s="6">
        <v>0.90453300000000003</v>
      </c>
      <c r="J2" s="2">
        <v>2.4376720000000001</v>
      </c>
      <c r="K2" s="6">
        <f>ABS(0.108486-0.117611)</f>
        <v>9.1249999999999942E-3</v>
      </c>
      <c r="L2" s="6">
        <f>ABS(0.97917-0.987513)</f>
        <v>8.3429999999999893E-3</v>
      </c>
      <c r="M2" s="25" t="s">
        <v>19</v>
      </c>
    </row>
    <row r="3" spans="1:13" x14ac:dyDescent="0.3">
      <c r="A3" s="43"/>
      <c r="B3" s="39"/>
      <c r="C3" s="19" t="s">
        <v>6</v>
      </c>
      <c r="D3" s="47"/>
      <c r="E3" s="7">
        <v>8.498E-2</v>
      </c>
      <c r="F3" s="35"/>
      <c r="G3" s="1">
        <v>1.8194360000000001</v>
      </c>
      <c r="H3" s="7">
        <v>11.538854000000001</v>
      </c>
      <c r="I3" s="7">
        <v>0.94276599999999999</v>
      </c>
      <c r="J3" s="1">
        <v>1.970175</v>
      </c>
      <c r="K3" s="7">
        <f>ABS(-0.207465+0.213549)</f>
        <v>6.0839999999999783E-3</v>
      </c>
      <c r="L3" s="1">
        <f>ABS(0.956098-1.049787)</f>
        <v>9.3689000000000022E-2</v>
      </c>
      <c r="M3" s="25"/>
    </row>
    <row r="4" spans="1:13" x14ac:dyDescent="0.3">
      <c r="A4" s="43"/>
      <c r="B4" s="40" t="s">
        <v>2</v>
      </c>
      <c r="C4" s="19" t="s">
        <v>5</v>
      </c>
      <c r="D4" s="26">
        <v>1.6282000000000001E-2</v>
      </c>
      <c r="E4" s="1">
        <v>0.35627700000000001</v>
      </c>
      <c r="F4" s="26">
        <v>9.4492999999999994E-2</v>
      </c>
      <c r="G4" s="1">
        <v>2.9033869999999999</v>
      </c>
      <c r="H4" s="1">
        <v>16.70777</v>
      </c>
      <c r="I4" s="1">
        <v>0.8125</v>
      </c>
      <c r="J4" s="7">
        <v>1.6275630000000001</v>
      </c>
      <c r="K4" s="1">
        <f>ABS(-0.29859+0.654744)</f>
        <v>0.35615399999999997</v>
      </c>
      <c r="L4" s="1">
        <f>ABS(0.864473-0.79537)</f>
        <v>6.9103000000000026E-2</v>
      </c>
      <c r="M4" s="25" t="s">
        <v>20</v>
      </c>
    </row>
    <row r="5" spans="1:13" x14ac:dyDescent="0.3">
      <c r="A5" s="43"/>
      <c r="B5" s="39"/>
      <c r="C5" s="19" t="s">
        <v>6</v>
      </c>
      <c r="D5" s="26"/>
      <c r="E5" s="1">
        <v>0.27351700000000001</v>
      </c>
      <c r="F5" s="26"/>
      <c r="G5" s="1">
        <v>2.13401</v>
      </c>
      <c r="H5" s="7">
        <v>11.605561</v>
      </c>
      <c r="I5" s="8">
        <v>0.76831499999999997</v>
      </c>
      <c r="J5" s="7">
        <v>1.494046</v>
      </c>
      <c r="K5" s="1">
        <f>ABS(0.266685+0.006696)</f>
        <v>0.27338099999999999</v>
      </c>
      <c r="L5" s="1">
        <f>ABS(0.971486-0.850546)</f>
        <v>0.12093999999999994</v>
      </c>
      <c r="M5" s="25"/>
    </row>
    <row r="6" spans="1:13" x14ac:dyDescent="0.3">
      <c r="A6" s="43"/>
      <c r="B6" s="40" t="s">
        <v>3</v>
      </c>
      <c r="C6" s="19" t="s">
        <v>5</v>
      </c>
      <c r="D6" s="26">
        <v>1.2845000000000001E-2</v>
      </c>
      <c r="E6" s="1">
        <v>0.169598</v>
      </c>
      <c r="F6" s="26">
        <v>0.45385999999999999</v>
      </c>
      <c r="G6" s="1">
        <v>2.8135430000000001</v>
      </c>
      <c r="H6" s="1">
        <v>18.007072999999998</v>
      </c>
      <c r="I6" s="1">
        <v>0.91972399999999999</v>
      </c>
      <c r="J6" s="1">
        <v>2.962304</v>
      </c>
      <c r="K6" s="1">
        <f>ABS(-0.250999+0.084499)</f>
        <v>0.16650000000000004</v>
      </c>
      <c r="L6" s="1">
        <f>ABS(0.849607-0.978932)</f>
        <v>0.12932500000000002</v>
      </c>
      <c r="M6" s="25" t="s">
        <v>21</v>
      </c>
    </row>
    <row r="7" spans="1:13" x14ac:dyDescent="0.3">
      <c r="A7" s="43"/>
      <c r="B7" s="39"/>
      <c r="C7" s="19" t="s">
        <v>6</v>
      </c>
      <c r="D7" s="26"/>
      <c r="E7" s="1">
        <v>0.25856800000000002</v>
      </c>
      <c r="F7" s="26"/>
      <c r="G7" s="1">
        <v>2.1489919999999998</v>
      </c>
      <c r="H7" s="1">
        <v>14.622308</v>
      </c>
      <c r="I7" s="7">
        <v>0.868093</v>
      </c>
      <c r="J7" s="1">
        <v>2.2110319999999999</v>
      </c>
      <c r="K7" s="1">
        <f>ABS(0.203228-0.461243)</f>
        <v>0.25801499999999999</v>
      </c>
      <c r="L7" s="7">
        <f>ABS(0.974248-1.026071)</f>
        <v>5.1822999999999952E-2</v>
      </c>
      <c r="M7" s="25"/>
    </row>
    <row r="8" spans="1:13" x14ac:dyDescent="0.3">
      <c r="A8" s="43"/>
      <c r="B8" s="40" t="s">
        <v>4</v>
      </c>
      <c r="C8" s="19" t="s">
        <v>5</v>
      </c>
      <c r="D8" s="26">
        <v>1.2751999999999999E-2</v>
      </c>
      <c r="E8" s="7">
        <v>8.0328999999999998E-2</v>
      </c>
      <c r="F8" s="35">
        <v>9.2188000000000006E-2</v>
      </c>
      <c r="G8" s="7">
        <v>2.9335830000000001</v>
      </c>
      <c r="H8" s="7">
        <v>18.630338999999999</v>
      </c>
      <c r="I8" s="7">
        <v>0.94372699999999998</v>
      </c>
      <c r="J8" s="1">
        <v>3.0175149999999999</v>
      </c>
      <c r="K8" s="7">
        <f>ABS(0.439037-0.414858)</f>
        <v>2.4179000000000006E-2</v>
      </c>
      <c r="L8" s="7">
        <f>ABS(1.101687-1.150859)</f>
        <v>4.9171999999999993E-2</v>
      </c>
      <c r="M8" s="25" t="s">
        <v>22</v>
      </c>
    </row>
    <row r="9" spans="1:13" ht="14.5" thickBot="1" x14ac:dyDescent="0.35">
      <c r="A9" s="49"/>
      <c r="B9" s="50"/>
      <c r="C9" s="22" t="s">
        <v>6</v>
      </c>
      <c r="D9" s="37"/>
      <c r="E9" s="3">
        <v>0.319326</v>
      </c>
      <c r="F9" s="36"/>
      <c r="G9" s="3">
        <v>1.9469989999999999</v>
      </c>
      <c r="H9" s="3">
        <v>13.719547</v>
      </c>
      <c r="I9" s="3">
        <v>0.88700199999999996</v>
      </c>
      <c r="J9" s="3">
        <v>1.917303</v>
      </c>
      <c r="K9" s="3">
        <f>ABS(-0.261805+0.580316)</f>
        <v>0.31851100000000004</v>
      </c>
      <c r="L9" s="9">
        <f>ABS(0.984403-0.993199)</f>
        <v>8.796000000000026E-3</v>
      </c>
      <c r="M9" s="25"/>
    </row>
    <row r="10" spans="1:13" x14ac:dyDescent="0.3">
      <c r="A10" s="42" t="s">
        <v>18</v>
      </c>
      <c r="B10" s="38" t="s">
        <v>1</v>
      </c>
      <c r="C10" s="21" t="s">
        <v>5</v>
      </c>
      <c r="D10" s="27">
        <v>9.7099999999999999E-3</v>
      </c>
      <c r="E10" s="2">
        <v>0.149976</v>
      </c>
      <c r="F10" s="33">
        <v>0.39334599999999997</v>
      </c>
      <c r="G10" s="2">
        <v>2.9950899999999998</v>
      </c>
      <c r="H10" s="6">
        <v>17.911068</v>
      </c>
      <c r="I10" s="2">
        <v>0.860348</v>
      </c>
      <c r="J10" s="6">
        <v>2.3350219999999999</v>
      </c>
      <c r="K10" s="2">
        <f>ABS(0.108486+0.040913)</f>
        <v>0.149399</v>
      </c>
      <c r="L10" s="2">
        <f>ABS(0.979171-0.908057)</f>
        <v>7.1114000000000011E-2</v>
      </c>
      <c r="M10" s="10"/>
    </row>
    <row r="11" spans="1:13" x14ac:dyDescent="0.3">
      <c r="A11" s="43"/>
      <c r="B11" s="39"/>
      <c r="C11" s="19" t="s">
        <v>6</v>
      </c>
      <c r="D11" s="28"/>
      <c r="E11" s="1">
        <v>9.0858999999999995E-2</v>
      </c>
      <c r="F11" s="34"/>
      <c r="G11" s="7">
        <v>1.786797</v>
      </c>
      <c r="H11" s="2">
        <v>12.13386</v>
      </c>
      <c r="I11" s="1">
        <v>0.84741299999999997</v>
      </c>
      <c r="J11" s="7">
        <v>1.7242329999999999</v>
      </c>
      <c r="K11" s="1">
        <f>ABS(-0.207465+0.195983)</f>
        <v>1.148200000000002E-2</v>
      </c>
      <c r="L11" s="7">
        <f>ABS(0.956098-0.873821)</f>
        <v>8.2277000000000045E-2</v>
      </c>
      <c r="M11" s="10"/>
    </row>
    <row r="12" spans="1:13" x14ac:dyDescent="0.3">
      <c r="A12" s="43"/>
      <c r="B12" s="40" t="s">
        <v>2</v>
      </c>
      <c r="C12" s="19" t="s">
        <v>5</v>
      </c>
      <c r="D12" s="29">
        <v>9.7269999999999995E-3</v>
      </c>
      <c r="E12" s="7">
        <v>2.1836000000000001E-2</v>
      </c>
      <c r="F12" s="29">
        <v>2.7234999999999999E-2</v>
      </c>
      <c r="G12" s="7">
        <v>2.542119</v>
      </c>
      <c r="H12" s="7">
        <v>15.490626000000001</v>
      </c>
      <c r="I12" s="7">
        <v>0.95615799999999995</v>
      </c>
      <c r="J12" s="1">
        <v>2.4023089999999998</v>
      </c>
      <c r="K12" s="7">
        <f>ABS(-0.29859+0.297622)</f>
        <v>9.680000000000244E-4</v>
      </c>
      <c r="L12" s="7">
        <f>ABS(0.864473-0.879302)</f>
        <v>1.4828999999999981E-2</v>
      </c>
      <c r="M12" s="10"/>
    </row>
    <row r="13" spans="1:13" x14ac:dyDescent="0.3">
      <c r="A13" s="43"/>
      <c r="B13" s="39"/>
      <c r="C13" s="19" t="s">
        <v>6</v>
      </c>
      <c r="D13" s="28"/>
      <c r="E13" s="7">
        <v>0.21851499999999999</v>
      </c>
      <c r="F13" s="28"/>
      <c r="G13" s="7">
        <v>2.0125150000000001</v>
      </c>
      <c r="H13" s="1">
        <v>12.246746</v>
      </c>
      <c r="I13" s="7">
        <v>0.84626800000000002</v>
      </c>
      <c r="J13" s="1">
        <v>1.7016770000000001</v>
      </c>
      <c r="K13" s="7">
        <f>ABS(0.266685-0.04817)</f>
        <v>0.21851500000000001</v>
      </c>
      <c r="L13" s="7">
        <f>ABS(0.971486-0.858627)</f>
        <v>0.11285899999999993</v>
      </c>
      <c r="M13" s="10"/>
    </row>
    <row r="14" spans="1:13" x14ac:dyDescent="0.3">
      <c r="A14" s="43"/>
      <c r="B14" s="40" t="s">
        <v>3</v>
      </c>
      <c r="C14" s="19" t="s">
        <v>5</v>
      </c>
      <c r="D14" s="29">
        <v>9.9109999999999997E-3</v>
      </c>
      <c r="E14" s="7">
        <v>3.9516999999999997E-2</v>
      </c>
      <c r="F14" s="29">
        <v>0.105335</v>
      </c>
      <c r="G14" s="7">
        <v>2.6284390000000002</v>
      </c>
      <c r="H14" s="7">
        <v>16.060974000000002</v>
      </c>
      <c r="I14" s="7">
        <v>0.94678399999999996</v>
      </c>
      <c r="J14" s="7">
        <v>2.5120140000000002</v>
      </c>
      <c r="K14" s="7">
        <f>ABS(-0.250999+0.235799)</f>
        <v>1.5200000000000019E-2</v>
      </c>
      <c r="L14" s="7">
        <f>ABS(0.849607-0.871873)</f>
        <v>2.2266000000000008E-2</v>
      </c>
      <c r="M14" s="10"/>
    </row>
    <row r="15" spans="1:13" x14ac:dyDescent="0.3">
      <c r="A15" s="43"/>
      <c r="B15" s="39"/>
      <c r="C15" s="19" t="s">
        <v>6</v>
      </c>
      <c r="D15" s="28"/>
      <c r="E15" s="7">
        <v>0.15051200000000001</v>
      </c>
      <c r="F15" s="28"/>
      <c r="G15" s="7">
        <v>2.0239609999999999</v>
      </c>
      <c r="H15" s="7">
        <v>12.386016</v>
      </c>
      <c r="I15" s="8">
        <v>0.83989999999999998</v>
      </c>
      <c r="J15" s="7">
        <v>1.8077719999999999</v>
      </c>
      <c r="K15" s="7">
        <f>ABS(0.203228-0.091742)</f>
        <v>0.11148599999999999</v>
      </c>
      <c r="L15" s="1">
        <f>ABS(0.974248-0.847105)</f>
        <v>0.12714300000000001</v>
      </c>
      <c r="M15" s="10"/>
    </row>
    <row r="16" spans="1:13" x14ac:dyDescent="0.3">
      <c r="A16" s="43"/>
      <c r="B16" s="40" t="s">
        <v>4</v>
      </c>
      <c r="C16" s="19" t="s">
        <v>5</v>
      </c>
      <c r="D16" s="29">
        <v>1.1835999999999999E-2</v>
      </c>
      <c r="E16" s="1">
        <v>0.214671</v>
      </c>
      <c r="F16" s="30">
        <v>0.29441499999999998</v>
      </c>
      <c r="G16" s="1">
        <v>3.0946090000000002</v>
      </c>
      <c r="H16" s="1">
        <v>22.009295000000002</v>
      </c>
      <c r="I16" s="1">
        <v>0.90806200000000004</v>
      </c>
      <c r="J16" s="7">
        <v>2.9141469999999998</v>
      </c>
      <c r="K16" s="1">
        <f>ABS(0.439037-0.226001)</f>
        <v>0.213036</v>
      </c>
      <c r="L16" s="1">
        <f>ABS(1.101687-1.005984)</f>
        <v>9.5703000000000094E-2</v>
      </c>
      <c r="M16" s="10"/>
    </row>
    <row r="17" spans="1:13" ht="14.5" thickBot="1" x14ac:dyDescent="0.35">
      <c r="A17" s="31"/>
      <c r="B17" s="41"/>
      <c r="C17" s="20" t="s">
        <v>6</v>
      </c>
      <c r="D17" s="32"/>
      <c r="E17" s="14">
        <v>8.3622000000000002E-2</v>
      </c>
      <c r="F17" s="31"/>
      <c r="G17" s="14">
        <v>1.702447</v>
      </c>
      <c r="H17" s="14">
        <v>13.588039999999999</v>
      </c>
      <c r="I17" s="14">
        <v>0.900362</v>
      </c>
      <c r="J17" s="14">
        <v>1.880128</v>
      </c>
      <c r="K17" s="14">
        <f>ABS(-0.261805+0.236423)</f>
        <v>2.5382000000000016E-2</v>
      </c>
      <c r="L17" s="12">
        <f>ABS(0.984403-0.822181)</f>
        <v>0.16222199999999998</v>
      </c>
      <c r="M17" s="10"/>
    </row>
    <row r="18" spans="1:13" ht="14.5" thickTop="1" x14ac:dyDescent="0.3"/>
    <row r="19" spans="1:13" x14ac:dyDescent="0.3">
      <c r="D19" s="26" t="s">
        <v>23</v>
      </c>
      <c r="E19" s="26"/>
      <c r="F19" s="26"/>
      <c r="G19" s="26"/>
      <c r="H19" s="26"/>
      <c r="I19" s="26"/>
      <c r="J19" s="26"/>
      <c r="K19" s="26"/>
      <c r="L19" s="26"/>
    </row>
  </sheetData>
  <mergeCells count="32">
    <mergeCell ref="D6:D7"/>
    <mergeCell ref="A1:B1"/>
    <mergeCell ref="F2:F3"/>
    <mergeCell ref="D2:D3"/>
    <mergeCell ref="F4:F5"/>
    <mergeCell ref="D4:D5"/>
    <mergeCell ref="A2:A9"/>
    <mergeCell ref="B2:B3"/>
    <mergeCell ref="B4:B5"/>
    <mergeCell ref="B6:B7"/>
    <mergeCell ref="B8:B9"/>
    <mergeCell ref="B10:B11"/>
    <mergeCell ref="B12:B13"/>
    <mergeCell ref="B14:B15"/>
    <mergeCell ref="B16:B17"/>
    <mergeCell ref="A10:A17"/>
    <mergeCell ref="M2:M3"/>
    <mergeCell ref="M4:M5"/>
    <mergeCell ref="M6:M7"/>
    <mergeCell ref="M8:M9"/>
    <mergeCell ref="D19:L19"/>
    <mergeCell ref="D10:D11"/>
    <mergeCell ref="F12:F13"/>
    <mergeCell ref="D12:D13"/>
    <mergeCell ref="F14:F15"/>
    <mergeCell ref="D14:D15"/>
    <mergeCell ref="F16:F17"/>
    <mergeCell ref="D16:D17"/>
    <mergeCell ref="F10:F11"/>
    <mergeCell ref="F8:F9"/>
    <mergeCell ref="D8:D9"/>
    <mergeCell ref="F6:F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FA63-F8A1-4089-A40F-3154A1406B5E}">
  <dimension ref="A1:P27"/>
  <sheetViews>
    <sheetView workbookViewId="0">
      <selection sqref="A1:XFD1048576"/>
    </sheetView>
  </sheetViews>
  <sheetFormatPr defaultRowHeight="14" x14ac:dyDescent="0.3"/>
  <cols>
    <col min="1" max="1" width="44.6640625" customWidth="1"/>
    <col min="3" max="3" width="11.4140625" customWidth="1"/>
    <col min="4" max="5" width="15.58203125" customWidth="1"/>
    <col min="6" max="7" width="20.5" customWidth="1"/>
    <col min="8" max="9" width="16.4140625" customWidth="1"/>
    <col min="10" max="10" width="22.08203125" customWidth="1"/>
    <col min="11" max="11" width="14.58203125" customWidth="1"/>
    <col min="12" max="12" width="12.25" customWidth="1"/>
    <col min="13" max="13" width="14.08203125" customWidth="1"/>
    <col min="14" max="14" width="16.25" customWidth="1"/>
    <col min="15" max="15" width="15.33203125" customWidth="1"/>
    <col min="16" max="16" width="9.08203125" bestFit="1" customWidth="1"/>
  </cols>
  <sheetData>
    <row r="1" spans="1:16" s="4" customFormat="1" ht="37" customHeight="1" thickTop="1" thickBot="1" x14ac:dyDescent="0.35">
      <c r="A1" s="44" t="s">
        <v>0</v>
      </c>
      <c r="B1" s="45"/>
      <c r="C1" s="18" t="s">
        <v>15</v>
      </c>
      <c r="D1" s="17" t="s">
        <v>14</v>
      </c>
      <c r="E1" s="5" t="s">
        <v>25</v>
      </c>
      <c r="F1" s="23" t="s">
        <v>8</v>
      </c>
      <c r="G1" s="23" t="s">
        <v>27</v>
      </c>
      <c r="H1" s="5" t="s">
        <v>13</v>
      </c>
      <c r="I1" s="5" t="s">
        <v>26</v>
      </c>
      <c r="J1" s="5" t="s">
        <v>9</v>
      </c>
      <c r="K1" s="5" t="s">
        <v>10</v>
      </c>
      <c r="L1" s="5" t="s">
        <v>12</v>
      </c>
      <c r="M1" s="5" t="s">
        <v>11</v>
      </c>
      <c r="N1" s="5" t="s">
        <v>7</v>
      </c>
      <c r="O1" s="5" t="s">
        <v>16</v>
      </c>
      <c r="P1" s="11"/>
    </row>
    <row r="2" spans="1:16" ht="14.5" thickTop="1" x14ac:dyDescent="0.3">
      <c r="A2" s="48" t="s">
        <v>17</v>
      </c>
      <c r="B2" s="38" t="s">
        <v>1</v>
      </c>
      <c r="C2" s="21" t="s">
        <v>5</v>
      </c>
      <c r="D2" s="46">
        <v>1.2363000000000001E-2</v>
      </c>
      <c r="E2" s="57">
        <f>AVERAGE(D2:D9)</f>
        <v>1.3560500000000001E-2</v>
      </c>
      <c r="F2" s="6">
        <v>8.8915999999999995E-2</v>
      </c>
      <c r="G2" s="52">
        <f>AVERAGE(F2,F4,F6,F8)</f>
        <v>0.17377999999999999</v>
      </c>
      <c r="H2" s="28">
        <v>0.165357</v>
      </c>
      <c r="I2" s="52">
        <f>AVERAGE(H2:H9)</f>
        <v>0.20147450000000003</v>
      </c>
      <c r="J2" s="6">
        <v>2.8666109999999998</v>
      </c>
      <c r="K2" s="2">
        <v>18.019214999999999</v>
      </c>
      <c r="L2" s="6">
        <v>0.90453300000000003</v>
      </c>
      <c r="M2" s="2">
        <v>2.4376720000000001</v>
      </c>
      <c r="N2" s="6">
        <f>ABS(0.108486-0.117611)</f>
        <v>9.1249999999999942E-3</v>
      </c>
      <c r="O2" s="6">
        <f>ABS(0.97917-0.987513)</f>
        <v>8.3429999999999893E-3</v>
      </c>
      <c r="P2" s="25" t="s">
        <v>19</v>
      </c>
    </row>
    <row r="3" spans="1:16" x14ac:dyDescent="0.3">
      <c r="A3" s="43"/>
      <c r="B3" s="39"/>
      <c r="C3" s="19" t="s">
        <v>6</v>
      </c>
      <c r="D3" s="47"/>
      <c r="E3" s="43"/>
      <c r="F3" s="7">
        <v>8.498E-2</v>
      </c>
      <c r="G3" s="53"/>
      <c r="H3" s="35"/>
      <c r="I3" s="53"/>
      <c r="J3" s="1">
        <v>1.8194360000000001</v>
      </c>
      <c r="K3" s="7">
        <v>11.538854000000001</v>
      </c>
      <c r="L3" s="7">
        <v>0.94276599999999999</v>
      </c>
      <c r="M3" s="1">
        <v>1.970175</v>
      </c>
      <c r="N3" s="7">
        <f>ABS(-0.207465+0.213549)</f>
        <v>6.0839999999999783E-3</v>
      </c>
      <c r="O3" s="1">
        <f>ABS(0.956098-1.049787)</f>
        <v>9.3689000000000022E-2</v>
      </c>
      <c r="P3" s="25"/>
    </row>
    <row r="4" spans="1:16" x14ac:dyDescent="0.3">
      <c r="A4" s="43"/>
      <c r="B4" s="40" t="s">
        <v>2</v>
      </c>
      <c r="C4" s="19" t="s">
        <v>5</v>
      </c>
      <c r="D4" s="26">
        <v>1.6282000000000001E-2</v>
      </c>
      <c r="E4" s="43"/>
      <c r="F4" s="1">
        <v>0.35627700000000001</v>
      </c>
      <c r="G4" s="53"/>
      <c r="H4" s="26">
        <v>9.4492999999999994E-2</v>
      </c>
      <c r="I4" s="53"/>
      <c r="J4" s="1">
        <v>2.9033869999999999</v>
      </c>
      <c r="K4" s="1">
        <v>16.70777</v>
      </c>
      <c r="L4" s="1">
        <v>0.8125</v>
      </c>
      <c r="M4" s="7">
        <v>1.6275630000000001</v>
      </c>
      <c r="N4" s="1">
        <f>ABS(-0.29859+0.654744)</f>
        <v>0.35615399999999997</v>
      </c>
      <c r="O4" s="1">
        <f>ABS(0.864473-0.79537)</f>
        <v>6.9103000000000026E-2</v>
      </c>
      <c r="P4" s="25" t="s">
        <v>20</v>
      </c>
    </row>
    <row r="5" spans="1:16" x14ac:dyDescent="0.3">
      <c r="A5" s="43"/>
      <c r="B5" s="39"/>
      <c r="C5" s="19" t="s">
        <v>6</v>
      </c>
      <c r="D5" s="26"/>
      <c r="E5" s="43"/>
      <c r="F5" s="1">
        <v>0.27351700000000001</v>
      </c>
      <c r="G5" s="54"/>
      <c r="H5" s="26"/>
      <c r="I5" s="53"/>
      <c r="J5" s="1">
        <v>2.13401</v>
      </c>
      <c r="K5" s="7">
        <v>11.605561</v>
      </c>
      <c r="L5" s="8">
        <v>0.76831499999999997</v>
      </c>
      <c r="M5" s="7">
        <v>1.494046</v>
      </c>
      <c r="N5" s="1">
        <f>ABS(0.266685+0.006696)</f>
        <v>0.27338099999999999</v>
      </c>
      <c r="O5" s="1">
        <f>ABS(0.971486-0.850546)</f>
        <v>0.12093999999999994</v>
      </c>
      <c r="P5" s="25"/>
    </row>
    <row r="6" spans="1:16" x14ac:dyDescent="0.3">
      <c r="A6" s="43"/>
      <c r="B6" s="40" t="s">
        <v>3</v>
      </c>
      <c r="C6" s="19" t="s">
        <v>5</v>
      </c>
      <c r="D6" s="26">
        <v>1.2845000000000001E-2</v>
      </c>
      <c r="E6" s="43"/>
      <c r="F6" s="1">
        <v>0.169598</v>
      </c>
      <c r="G6" s="55">
        <f>AVERAGE(F3,F5,F7,F9)</f>
        <v>0.23409774999999999</v>
      </c>
      <c r="H6" s="26">
        <v>0.45385999999999999</v>
      </c>
      <c r="I6" s="53"/>
      <c r="J6" s="1">
        <v>2.8135430000000001</v>
      </c>
      <c r="K6" s="1">
        <v>18.007072999999998</v>
      </c>
      <c r="L6" s="1">
        <v>0.91972399999999999</v>
      </c>
      <c r="M6" s="1">
        <v>2.962304</v>
      </c>
      <c r="N6" s="1">
        <f>ABS(-0.250999+0.084499)</f>
        <v>0.16650000000000004</v>
      </c>
      <c r="O6" s="1">
        <f>ABS(0.849607-0.978932)</f>
        <v>0.12932500000000002</v>
      </c>
      <c r="P6" s="25" t="s">
        <v>21</v>
      </c>
    </row>
    <row r="7" spans="1:16" x14ac:dyDescent="0.3">
      <c r="A7" s="43"/>
      <c r="B7" s="39"/>
      <c r="C7" s="19" t="s">
        <v>6</v>
      </c>
      <c r="D7" s="26"/>
      <c r="E7" s="43"/>
      <c r="F7" s="1">
        <v>0.25856800000000002</v>
      </c>
      <c r="G7" s="53"/>
      <c r="H7" s="26"/>
      <c r="I7" s="53"/>
      <c r="J7" s="1">
        <v>2.1489919999999998</v>
      </c>
      <c r="K7" s="1">
        <v>14.622308</v>
      </c>
      <c r="L7" s="7">
        <v>0.868093</v>
      </c>
      <c r="M7" s="1">
        <v>2.2110319999999999</v>
      </c>
      <c r="N7" s="1">
        <f>ABS(0.203228-0.461243)</f>
        <v>0.25801499999999999</v>
      </c>
      <c r="O7" s="7">
        <f>ABS(0.974248-1.026071)</f>
        <v>5.1822999999999952E-2</v>
      </c>
      <c r="P7" s="25"/>
    </row>
    <row r="8" spans="1:16" x14ac:dyDescent="0.3">
      <c r="A8" s="43"/>
      <c r="B8" s="40" t="s">
        <v>4</v>
      </c>
      <c r="C8" s="19" t="s">
        <v>5</v>
      </c>
      <c r="D8" s="26">
        <v>1.2751999999999999E-2</v>
      </c>
      <c r="E8" s="43"/>
      <c r="F8" s="7">
        <v>8.0328999999999998E-2</v>
      </c>
      <c r="G8" s="53"/>
      <c r="H8" s="35">
        <v>9.2188000000000006E-2</v>
      </c>
      <c r="I8" s="53"/>
      <c r="J8" s="7">
        <v>2.9335830000000001</v>
      </c>
      <c r="K8" s="7">
        <v>18.630338999999999</v>
      </c>
      <c r="L8" s="7">
        <v>0.94372699999999998</v>
      </c>
      <c r="M8" s="1">
        <v>3.0175149999999999</v>
      </c>
      <c r="N8" s="7">
        <f>ABS(0.439037-0.414858)</f>
        <v>2.4179000000000006E-2</v>
      </c>
      <c r="O8" s="7">
        <f>ABS(1.101687-1.150859)</f>
        <v>4.9171999999999993E-2</v>
      </c>
      <c r="P8" s="25" t="s">
        <v>22</v>
      </c>
    </row>
    <row r="9" spans="1:16" ht="14.5" thickBot="1" x14ac:dyDescent="0.35">
      <c r="A9" s="49"/>
      <c r="B9" s="50"/>
      <c r="C9" s="20" t="s">
        <v>6</v>
      </c>
      <c r="D9" s="65"/>
      <c r="E9" s="31"/>
      <c r="F9" s="12">
        <v>0.319326</v>
      </c>
      <c r="G9" s="56"/>
      <c r="H9" s="60"/>
      <c r="I9" s="56"/>
      <c r="J9" s="12">
        <v>1.9469989999999999</v>
      </c>
      <c r="K9" s="12">
        <v>13.719547</v>
      </c>
      <c r="L9" s="12">
        <v>0.88700199999999996</v>
      </c>
      <c r="M9" s="12">
        <v>1.917303</v>
      </c>
      <c r="N9" s="12">
        <f>ABS(-0.261805+0.580316)</f>
        <v>0.31851100000000004</v>
      </c>
      <c r="O9" s="16">
        <f>ABS(0.984403-0.993199)</f>
        <v>8.796000000000026E-3</v>
      </c>
      <c r="P9" s="25"/>
    </row>
    <row r="10" spans="1:16" ht="14.5" thickTop="1" x14ac:dyDescent="0.3">
      <c r="A10" s="64" t="s">
        <v>18</v>
      </c>
      <c r="B10" s="38" t="s">
        <v>1</v>
      </c>
      <c r="C10" s="21" t="s">
        <v>5</v>
      </c>
      <c r="D10" s="27">
        <v>9.7099999999999999E-3</v>
      </c>
      <c r="E10" s="58">
        <f>AVERAGE(D10:D17)</f>
        <v>1.0296E-2</v>
      </c>
      <c r="F10" s="2">
        <v>0.149976</v>
      </c>
      <c r="G10" s="59">
        <f>AVERAGE(F10,F12,F14,F16)</f>
        <v>0.1065</v>
      </c>
      <c r="H10" s="33">
        <v>0.39334599999999997</v>
      </c>
      <c r="I10" s="52">
        <f>AVERAGE(H10:H17)</f>
        <v>0.20508274999999998</v>
      </c>
      <c r="J10" s="2">
        <v>2.9950899999999998</v>
      </c>
      <c r="K10" s="13">
        <v>17.911068</v>
      </c>
      <c r="L10" s="2">
        <v>0.860348</v>
      </c>
      <c r="M10" s="6">
        <v>2.3350219999999999</v>
      </c>
      <c r="N10" s="2">
        <f>ABS(0.108486+0.040913)</f>
        <v>0.149399</v>
      </c>
      <c r="O10" s="2">
        <f>ABS(0.979171-0.908057)</f>
        <v>7.1114000000000011E-2</v>
      </c>
      <c r="P10" s="10"/>
    </row>
    <row r="11" spans="1:16" x14ac:dyDescent="0.3">
      <c r="A11" s="43"/>
      <c r="B11" s="39"/>
      <c r="C11" s="19" t="s">
        <v>6</v>
      </c>
      <c r="D11" s="28"/>
      <c r="E11" s="53"/>
      <c r="F11" s="1">
        <v>9.0858999999999995E-2</v>
      </c>
      <c r="G11" s="51"/>
      <c r="H11" s="34"/>
      <c r="I11" s="53"/>
      <c r="J11" s="7">
        <v>1.786797</v>
      </c>
      <c r="K11" s="2">
        <v>12.13386</v>
      </c>
      <c r="L11" s="1">
        <v>0.84741299999999997</v>
      </c>
      <c r="M11" s="7">
        <v>1.7242329999999999</v>
      </c>
      <c r="N11" s="1">
        <f>ABS(-0.207465+0.195983)</f>
        <v>1.148200000000002E-2</v>
      </c>
      <c r="O11" s="8">
        <f>ABS(0.956098-0.873821)</f>
        <v>8.2277000000000045E-2</v>
      </c>
      <c r="P11" s="10"/>
    </row>
    <row r="12" spans="1:16" x14ac:dyDescent="0.3">
      <c r="A12" s="43"/>
      <c r="B12" s="40" t="s">
        <v>2</v>
      </c>
      <c r="C12" s="19" t="s">
        <v>5</v>
      </c>
      <c r="D12" s="29">
        <v>9.7269999999999995E-3</v>
      </c>
      <c r="E12" s="53"/>
      <c r="F12" s="7">
        <v>2.1836000000000001E-2</v>
      </c>
      <c r="G12" s="51"/>
      <c r="H12" s="55">
        <v>2.7234999999999999E-2</v>
      </c>
      <c r="I12" s="53"/>
      <c r="J12" s="7">
        <v>2.542119</v>
      </c>
      <c r="K12" s="8">
        <v>15.490626000000001</v>
      </c>
      <c r="L12" s="7">
        <v>0.95615799999999995</v>
      </c>
      <c r="M12" s="1">
        <v>2.4023089999999998</v>
      </c>
      <c r="N12" s="7">
        <f>ABS(-0.29859+0.297622)</f>
        <v>9.680000000000244E-4</v>
      </c>
      <c r="O12" s="7">
        <f>ABS(0.864473-0.879302)</f>
        <v>1.4828999999999981E-2</v>
      </c>
      <c r="P12" s="10"/>
    </row>
    <row r="13" spans="1:16" x14ac:dyDescent="0.3">
      <c r="A13" s="43"/>
      <c r="B13" s="39"/>
      <c r="C13" s="19" t="s">
        <v>6</v>
      </c>
      <c r="D13" s="28"/>
      <c r="E13" s="53"/>
      <c r="F13" s="8">
        <v>0.21851499999999999</v>
      </c>
      <c r="G13" s="28"/>
      <c r="H13" s="54"/>
      <c r="I13" s="53"/>
      <c r="J13" s="8">
        <v>2.0125150000000001</v>
      </c>
      <c r="K13" s="1">
        <v>12.246746</v>
      </c>
      <c r="L13" s="7">
        <v>0.84626800000000002</v>
      </c>
      <c r="M13" s="1">
        <v>1.7016770000000001</v>
      </c>
      <c r="N13" s="8">
        <f>ABS(0.266685-0.04817)</f>
        <v>0.21851500000000001</v>
      </c>
      <c r="O13" s="8">
        <f>ABS(0.971486-0.858627)</f>
        <v>0.11285899999999993</v>
      </c>
      <c r="P13" s="10"/>
    </row>
    <row r="14" spans="1:16" x14ac:dyDescent="0.3">
      <c r="A14" s="43"/>
      <c r="B14" s="40" t="s">
        <v>3</v>
      </c>
      <c r="C14" s="19" t="s">
        <v>5</v>
      </c>
      <c r="D14" s="29">
        <v>9.9109999999999997E-3</v>
      </c>
      <c r="E14" s="53"/>
      <c r="F14" s="7">
        <v>3.9516999999999997E-2</v>
      </c>
      <c r="G14" s="29">
        <f>AVERAGE(F11,F13,F15,F17)</f>
        <v>0.135877</v>
      </c>
      <c r="H14" s="55">
        <v>0.105335</v>
      </c>
      <c r="I14" s="53"/>
      <c r="J14" s="8">
        <v>2.6284390000000002</v>
      </c>
      <c r="K14" s="8">
        <v>16.060974000000002</v>
      </c>
      <c r="L14" s="7">
        <v>0.94678399999999996</v>
      </c>
      <c r="M14" s="8">
        <v>2.5120140000000002</v>
      </c>
      <c r="N14" s="7">
        <f>ABS(-0.250999+0.235799)</f>
        <v>1.5200000000000019E-2</v>
      </c>
      <c r="O14" s="7">
        <f>ABS(0.849607-0.871873)</f>
        <v>2.2266000000000008E-2</v>
      </c>
      <c r="P14" s="10"/>
    </row>
    <row r="15" spans="1:16" x14ac:dyDescent="0.3">
      <c r="A15" s="43"/>
      <c r="B15" s="39"/>
      <c r="C15" s="19" t="s">
        <v>6</v>
      </c>
      <c r="D15" s="28"/>
      <c r="E15" s="53"/>
      <c r="F15" s="7">
        <v>0.15051200000000001</v>
      </c>
      <c r="G15" s="51"/>
      <c r="H15" s="54"/>
      <c r="I15" s="53"/>
      <c r="J15" s="7">
        <v>2.0239609999999999</v>
      </c>
      <c r="K15" s="7">
        <v>12.386016</v>
      </c>
      <c r="L15" s="8">
        <v>0.83989999999999998</v>
      </c>
      <c r="M15" s="7">
        <v>1.8077719999999999</v>
      </c>
      <c r="N15" s="7">
        <f>ABS(0.203228-0.091742)</f>
        <v>0.11148599999999999</v>
      </c>
      <c r="O15" s="1">
        <f>ABS(0.974248-0.847105)</f>
        <v>0.12714300000000001</v>
      </c>
      <c r="P15" s="10"/>
    </row>
    <row r="16" spans="1:16" x14ac:dyDescent="0.3">
      <c r="A16" s="43"/>
      <c r="B16" s="40" t="s">
        <v>4</v>
      </c>
      <c r="C16" s="19" t="s">
        <v>5</v>
      </c>
      <c r="D16" s="55">
        <v>1.1835999999999999E-2</v>
      </c>
      <c r="E16" s="53"/>
      <c r="F16" s="1">
        <v>0.214671</v>
      </c>
      <c r="G16" s="51"/>
      <c r="H16" s="30">
        <v>0.29441499999999998</v>
      </c>
      <c r="I16" s="53"/>
      <c r="J16" s="1">
        <v>3.0946090000000002</v>
      </c>
      <c r="K16" s="1">
        <v>22.009295000000002</v>
      </c>
      <c r="L16" s="1">
        <v>0.90806200000000004</v>
      </c>
      <c r="M16" s="8">
        <v>2.9141469999999998</v>
      </c>
      <c r="N16" s="1">
        <f>ABS(0.439037-0.226001)</f>
        <v>0.213036</v>
      </c>
      <c r="O16" s="1">
        <f>ABS(1.101687-1.005984)</f>
        <v>9.5703000000000094E-2</v>
      </c>
      <c r="P16" s="10"/>
    </row>
    <row r="17" spans="1:16" ht="14.5" thickBot="1" x14ac:dyDescent="0.35">
      <c r="A17" s="34"/>
      <c r="B17" s="38"/>
      <c r="C17" s="20" t="s">
        <v>6</v>
      </c>
      <c r="D17" s="56"/>
      <c r="E17" s="56"/>
      <c r="F17" s="14">
        <v>8.3622000000000002E-2</v>
      </c>
      <c r="G17" s="32"/>
      <c r="H17" s="31"/>
      <c r="I17" s="56"/>
      <c r="J17" s="16">
        <v>1.702447</v>
      </c>
      <c r="K17" s="16">
        <v>13.588039999999999</v>
      </c>
      <c r="L17" s="16">
        <v>0.900362</v>
      </c>
      <c r="M17" s="14">
        <v>1.880128</v>
      </c>
      <c r="N17" s="14">
        <f>ABS(-0.261805+0.236423)</f>
        <v>2.5382000000000016E-2</v>
      </c>
      <c r="O17" s="12">
        <f>ABS(0.984403-0.822181)</f>
        <v>0.16222199999999998</v>
      </c>
      <c r="P17" s="10"/>
    </row>
    <row r="18" spans="1:16" ht="14.5" thickTop="1" x14ac:dyDescent="0.3">
      <c r="A18" s="48" t="s">
        <v>24</v>
      </c>
      <c r="B18" s="63" t="s">
        <v>1</v>
      </c>
      <c r="C18" s="21" t="s">
        <v>5</v>
      </c>
      <c r="D18" s="34">
        <v>9.7310000000000001E-3</v>
      </c>
      <c r="E18" s="51">
        <f>AVERAGE(D18:D25)</f>
        <v>1.0061975000000001E-2</v>
      </c>
      <c r="F18" s="13">
        <v>0.101885</v>
      </c>
      <c r="G18" s="52">
        <f>AVERAGE(F18,F20,F22,F24)</f>
        <v>0.12032975000000001</v>
      </c>
      <c r="H18" s="54">
        <v>0.16908999999999999</v>
      </c>
      <c r="I18" s="51">
        <f>AVERAGE(H18:H25)</f>
        <v>0.157946</v>
      </c>
      <c r="J18" s="13">
        <v>2.8865229999999999</v>
      </c>
      <c r="K18" s="6">
        <v>17.198574000000001</v>
      </c>
      <c r="L18" s="13">
        <v>0.88209700000000002</v>
      </c>
      <c r="M18" s="13">
        <v>2.367032</v>
      </c>
      <c r="N18" s="13">
        <f>ABS(0.108486-0.026931)</f>
        <v>8.1555000000000002E-2</v>
      </c>
      <c r="O18" s="13">
        <f>ABS(0.979171-0.896029)</f>
        <v>8.3142000000000049E-2</v>
      </c>
    </row>
    <row r="19" spans="1:16" x14ac:dyDescent="0.3">
      <c r="A19" s="43"/>
      <c r="B19" s="39"/>
      <c r="C19" s="19" t="s">
        <v>6</v>
      </c>
      <c r="D19" s="26"/>
      <c r="E19" s="51"/>
      <c r="F19" s="8">
        <v>0.12531400000000001</v>
      </c>
      <c r="G19" s="53"/>
      <c r="H19" s="61"/>
      <c r="I19" s="51"/>
      <c r="J19" s="8">
        <v>1.806378</v>
      </c>
      <c r="K19" s="8">
        <v>13.053041</v>
      </c>
      <c r="L19" s="8">
        <v>0.86641500000000005</v>
      </c>
      <c r="M19" s="8">
        <v>1.800243</v>
      </c>
      <c r="N19" s="8">
        <f>ABS(-0.207465+0.083802)</f>
        <v>0.12366300000000001</v>
      </c>
      <c r="O19" s="7">
        <f>ABS(0.956098-0.946328)</f>
        <v>9.7700000000000564E-3</v>
      </c>
    </row>
    <row r="20" spans="1:16" x14ac:dyDescent="0.3">
      <c r="A20" s="43"/>
      <c r="B20" s="40" t="s">
        <v>2</v>
      </c>
      <c r="C20" s="19" t="s">
        <v>5</v>
      </c>
      <c r="D20" s="26">
        <v>1.0056000000000001E-2</v>
      </c>
      <c r="E20" s="51"/>
      <c r="F20" s="8">
        <v>6.6117999999999996E-2</v>
      </c>
      <c r="G20" s="53"/>
      <c r="H20" s="35">
        <v>6.4270000000000004E-3</v>
      </c>
      <c r="I20" s="51"/>
      <c r="J20" s="8">
        <v>2.5511180000000002</v>
      </c>
      <c r="K20" s="7">
        <v>15.465785</v>
      </c>
      <c r="L20" s="8">
        <v>0.93921699999999997</v>
      </c>
      <c r="M20" s="8">
        <v>2.3204920000000002</v>
      </c>
      <c r="N20" s="1">
        <f>ABS(-0.29859+0.247795)</f>
        <v>5.0795000000000035E-2</v>
      </c>
      <c r="O20" s="1">
        <f>ABS(0.864473-0.84603)</f>
        <v>1.8443000000000098E-2</v>
      </c>
    </row>
    <row r="21" spans="1:16" x14ac:dyDescent="0.3">
      <c r="A21" s="43"/>
      <c r="B21" s="39"/>
      <c r="C21" s="19" t="s">
        <v>6</v>
      </c>
      <c r="D21" s="26"/>
      <c r="E21" s="51"/>
      <c r="F21" s="7">
        <v>0.20639299999999999</v>
      </c>
      <c r="G21" s="54"/>
      <c r="H21" s="35"/>
      <c r="I21" s="51"/>
      <c r="J21" s="7">
        <v>1.9792069999999999</v>
      </c>
      <c r="K21" s="8">
        <v>11.972531</v>
      </c>
      <c r="L21" s="8">
        <v>0.80219799999999997</v>
      </c>
      <c r="M21" s="8">
        <v>1.581229</v>
      </c>
      <c r="N21" s="7">
        <f>ABS(0.266685-0.06057)</f>
        <v>0.20611499999999999</v>
      </c>
      <c r="O21" s="7">
        <f>ABS(0.971486-0.863235)</f>
        <v>0.10825099999999999</v>
      </c>
    </row>
    <row r="22" spans="1:16" x14ac:dyDescent="0.3">
      <c r="A22" s="43"/>
      <c r="B22" s="40" t="s">
        <v>3</v>
      </c>
      <c r="C22" s="19" t="s">
        <v>5</v>
      </c>
      <c r="D22" s="26">
        <v>1.0896899999999999E-2</v>
      </c>
      <c r="E22" s="51"/>
      <c r="F22" s="8">
        <v>8.8316000000000006E-2</v>
      </c>
      <c r="G22" s="55">
        <f>AVERAGE(F19,F21,F23,F25)</f>
        <v>0.16308975000000001</v>
      </c>
      <c r="H22" s="35">
        <v>4.1653999999999997E-2</v>
      </c>
      <c r="I22" s="51"/>
      <c r="J22" s="7">
        <v>2.6160549999999998</v>
      </c>
      <c r="K22" s="7">
        <v>15.352142000000001</v>
      </c>
      <c r="L22" s="8">
        <v>0.90590999999999999</v>
      </c>
      <c r="M22" s="7">
        <v>2.294524</v>
      </c>
      <c r="N22" s="1">
        <f>ABS(-0.250999+0.188842)</f>
        <v>6.2157000000000018E-2</v>
      </c>
      <c r="O22" s="1">
        <f>ABS(0.849607-0.798622)</f>
        <v>5.0984999999999947E-2</v>
      </c>
    </row>
    <row r="23" spans="1:16" x14ac:dyDescent="0.3">
      <c r="A23" s="43"/>
      <c r="B23" s="39"/>
      <c r="C23" s="19" t="s">
        <v>6</v>
      </c>
      <c r="D23" s="26"/>
      <c r="E23" s="51"/>
      <c r="F23" s="8">
        <v>0.23302</v>
      </c>
      <c r="G23" s="53"/>
      <c r="H23" s="35"/>
      <c r="I23" s="51"/>
      <c r="J23" s="8">
        <v>2.1261450000000002</v>
      </c>
      <c r="K23" s="8">
        <v>13.690543999999999</v>
      </c>
      <c r="L23" s="8">
        <v>0.83435199999999998</v>
      </c>
      <c r="M23" s="8">
        <v>1.840373</v>
      </c>
      <c r="N23" s="1">
        <f>ABS(0.203228+0.02926)</f>
        <v>0.232488</v>
      </c>
      <c r="O23" s="1">
        <f>ABS(0.974248-0.857136)</f>
        <v>0.11711199999999999</v>
      </c>
    </row>
    <row r="24" spans="1:16" x14ac:dyDescent="0.3">
      <c r="A24" s="43"/>
      <c r="B24" s="40" t="s">
        <v>4</v>
      </c>
      <c r="C24" s="19" t="s">
        <v>5</v>
      </c>
      <c r="D24" s="35">
        <v>9.5639999999999996E-3</v>
      </c>
      <c r="E24" s="51"/>
      <c r="F24" s="8">
        <v>0.22500000000000001</v>
      </c>
      <c r="G24" s="53"/>
      <c r="H24" s="61">
        <v>0.41461300000000001</v>
      </c>
      <c r="I24" s="51"/>
      <c r="J24" s="8">
        <v>3.1210149999999999</v>
      </c>
      <c r="K24" s="8">
        <v>18.805600999999999</v>
      </c>
      <c r="L24" s="8">
        <v>0.89368199999999998</v>
      </c>
      <c r="M24" s="7">
        <v>2.8837549999999998</v>
      </c>
      <c r="N24" s="1">
        <f>ABS(0.439037-0.215602)</f>
        <v>0.22343500000000002</v>
      </c>
      <c r="O24" s="1">
        <f>ABS(1.101687-0.981232)</f>
        <v>0.12045500000000009</v>
      </c>
    </row>
    <row r="25" spans="1:16" ht="14.5" thickBot="1" x14ac:dyDescent="0.35">
      <c r="A25" s="43"/>
      <c r="B25" s="41"/>
      <c r="C25" s="20" t="s">
        <v>6</v>
      </c>
      <c r="D25" s="60"/>
      <c r="E25" s="32"/>
      <c r="F25" s="16">
        <v>8.7632000000000002E-2</v>
      </c>
      <c r="G25" s="56"/>
      <c r="H25" s="62"/>
      <c r="I25" s="51"/>
      <c r="J25" s="14">
        <v>1.6898359999999999</v>
      </c>
      <c r="K25" s="14">
        <v>12.689178</v>
      </c>
      <c r="L25" s="14">
        <v>0.91383599999999998</v>
      </c>
      <c r="M25" s="16">
        <v>2.0509230000000001</v>
      </c>
      <c r="N25" s="12">
        <f>ABS(-0.261805+0.183797)</f>
        <v>7.8008000000000022E-2</v>
      </c>
      <c r="O25" s="14">
        <f>ABS(0.984403-0.981618)</f>
        <v>2.7850000000000374E-3</v>
      </c>
    </row>
    <row r="26" spans="1:16" ht="14.5" thickTop="1" x14ac:dyDescent="0.3">
      <c r="A26" s="15"/>
      <c r="B26" s="15"/>
      <c r="I26" s="24"/>
    </row>
    <row r="27" spans="1:16" x14ac:dyDescent="0.3">
      <c r="D27" s="26" t="s">
        <v>23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</sheetData>
  <mergeCells count="57">
    <mergeCell ref="P2:P3"/>
    <mergeCell ref="B4:B5"/>
    <mergeCell ref="D4:D5"/>
    <mergeCell ref="H4:H5"/>
    <mergeCell ref="P4:P5"/>
    <mergeCell ref="A1:B1"/>
    <mergeCell ref="A2:A9"/>
    <mergeCell ref="B2:B3"/>
    <mergeCell ref="D2:D3"/>
    <mergeCell ref="H2:H3"/>
    <mergeCell ref="P6:P7"/>
    <mergeCell ref="B8:B9"/>
    <mergeCell ref="D8:D9"/>
    <mergeCell ref="H8:H9"/>
    <mergeCell ref="P8:P9"/>
    <mergeCell ref="B14:B15"/>
    <mergeCell ref="D14:D15"/>
    <mergeCell ref="H14:H15"/>
    <mergeCell ref="B6:B7"/>
    <mergeCell ref="D6:D7"/>
    <mergeCell ref="H6:H7"/>
    <mergeCell ref="B16:B17"/>
    <mergeCell ref="D16:D17"/>
    <mergeCell ref="H16:H17"/>
    <mergeCell ref="A18:A25"/>
    <mergeCell ref="B18:B19"/>
    <mergeCell ref="D18:D19"/>
    <mergeCell ref="H18:H19"/>
    <mergeCell ref="B20:B21"/>
    <mergeCell ref="D20:D21"/>
    <mergeCell ref="H20:H21"/>
    <mergeCell ref="A10:A17"/>
    <mergeCell ref="B10:B11"/>
    <mergeCell ref="D10:D11"/>
    <mergeCell ref="H10:H11"/>
    <mergeCell ref="B12:B13"/>
    <mergeCell ref="D12:D13"/>
    <mergeCell ref="B22:B23"/>
    <mergeCell ref="D22:D23"/>
    <mergeCell ref="H22:H23"/>
    <mergeCell ref="B24:B25"/>
    <mergeCell ref="D24:D25"/>
    <mergeCell ref="H24:H25"/>
    <mergeCell ref="G14:G17"/>
    <mergeCell ref="G18:G21"/>
    <mergeCell ref="G22:G25"/>
    <mergeCell ref="D27:O27"/>
    <mergeCell ref="E2:E9"/>
    <mergeCell ref="E10:E17"/>
    <mergeCell ref="E18:E25"/>
    <mergeCell ref="I2:I9"/>
    <mergeCell ref="I10:I17"/>
    <mergeCell ref="I18:I25"/>
    <mergeCell ref="G2:G5"/>
    <mergeCell ref="G6:G9"/>
    <mergeCell ref="G10:G13"/>
    <mergeCell ref="H12:H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2E2D-8C0C-40ED-B87C-01B2649BF4C4}">
  <dimension ref="A1:P35"/>
  <sheetViews>
    <sheetView tabSelected="1" topLeftCell="A5" workbookViewId="0">
      <selection activeCell="K36" sqref="K36"/>
    </sheetView>
  </sheetViews>
  <sheetFormatPr defaultRowHeight="14" x14ac:dyDescent="0.3"/>
  <cols>
    <col min="1" max="1" width="44.6640625" customWidth="1"/>
    <col min="3" max="3" width="11.4140625" customWidth="1"/>
    <col min="4" max="5" width="15.58203125" customWidth="1"/>
    <col min="6" max="7" width="20.5" customWidth="1"/>
    <col min="8" max="9" width="16.4140625" customWidth="1"/>
    <col min="10" max="10" width="22.08203125" customWidth="1"/>
    <col min="11" max="11" width="14.58203125" customWidth="1"/>
    <col min="12" max="12" width="12.25" customWidth="1"/>
    <col min="13" max="13" width="14.08203125" customWidth="1"/>
    <col min="14" max="14" width="16.25" customWidth="1"/>
    <col min="15" max="15" width="15.33203125" customWidth="1"/>
    <col min="16" max="16" width="9.08203125" bestFit="1" customWidth="1"/>
  </cols>
  <sheetData>
    <row r="1" spans="1:16" s="4" customFormat="1" ht="37" customHeight="1" thickTop="1" thickBot="1" x14ac:dyDescent="0.35">
      <c r="A1" s="44" t="s">
        <v>0</v>
      </c>
      <c r="B1" s="45"/>
      <c r="C1" s="18" t="s">
        <v>15</v>
      </c>
      <c r="D1" s="17" t="s">
        <v>14</v>
      </c>
      <c r="E1" s="5" t="s">
        <v>25</v>
      </c>
      <c r="F1" s="23" t="s">
        <v>8</v>
      </c>
      <c r="G1" s="23" t="s">
        <v>27</v>
      </c>
      <c r="H1" s="5" t="s">
        <v>13</v>
      </c>
      <c r="I1" s="5" t="s">
        <v>26</v>
      </c>
      <c r="J1" s="5" t="s">
        <v>9</v>
      </c>
      <c r="K1" s="5" t="s">
        <v>10</v>
      </c>
      <c r="L1" s="5" t="s">
        <v>12</v>
      </c>
      <c r="M1" s="5" t="s">
        <v>11</v>
      </c>
      <c r="N1" s="5" t="s">
        <v>7</v>
      </c>
      <c r="O1" s="5" t="s">
        <v>16</v>
      </c>
      <c r="P1" s="11"/>
    </row>
    <row r="2" spans="1:16" ht="14.5" thickTop="1" x14ac:dyDescent="0.3">
      <c r="A2" s="48" t="s">
        <v>28</v>
      </c>
      <c r="B2" s="38" t="s">
        <v>1</v>
      </c>
      <c r="C2" s="21" t="s">
        <v>5</v>
      </c>
      <c r="D2" s="46">
        <v>1.2363000000000001E-2</v>
      </c>
      <c r="E2" s="57">
        <f>AVERAGE(D2:D9)</f>
        <v>1.3560500000000001E-2</v>
      </c>
      <c r="F2" s="6">
        <v>8.8915999999999995E-2</v>
      </c>
      <c r="G2" s="52">
        <f>AVERAGE(F2,F4,F6,F8)</f>
        <v>0.17377999999999999</v>
      </c>
      <c r="H2" s="28">
        <v>0.165357</v>
      </c>
      <c r="I2" s="52">
        <f>AVERAGE(H2:H9)</f>
        <v>0.20147450000000003</v>
      </c>
      <c r="J2" s="6">
        <v>2.8666109999999998</v>
      </c>
      <c r="K2" s="2">
        <v>18.019214999999999</v>
      </c>
      <c r="L2" s="6">
        <v>0.90453300000000003</v>
      </c>
      <c r="M2" s="2">
        <v>2.4376720000000001</v>
      </c>
      <c r="N2" s="6">
        <f>ABS(0.108486-0.117611)</f>
        <v>9.1249999999999942E-3</v>
      </c>
      <c r="O2" s="6">
        <f>ABS(0.97917-0.987513)</f>
        <v>8.3429999999999893E-3</v>
      </c>
      <c r="P2" s="25" t="s">
        <v>19</v>
      </c>
    </row>
    <row r="3" spans="1:16" x14ac:dyDescent="0.3">
      <c r="A3" s="43"/>
      <c r="B3" s="39"/>
      <c r="C3" s="19" t="s">
        <v>6</v>
      </c>
      <c r="D3" s="47"/>
      <c r="E3" s="43"/>
      <c r="F3" s="7">
        <v>8.498E-2</v>
      </c>
      <c r="G3" s="53"/>
      <c r="H3" s="35"/>
      <c r="I3" s="53"/>
      <c r="J3" s="1">
        <v>1.8194360000000001</v>
      </c>
      <c r="K3" s="7">
        <v>11.538854000000001</v>
      </c>
      <c r="L3" s="7">
        <v>0.94276599999999999</v>
      </c>
      <c r="M3" s="1">
        <v>1.970175</v>
      </c>
      <c r="N3" s="7">
        <f>ABS(-0.207465+0.213549)</f>
        <v>6.0839999999999783E-3</v>
      </c>
      <c r="O3" s="1">
        <f>ABS(0.956098-1.049787)</f>
        <v>9.3689000000000022E-2</v>
      </c>
      <c r="P3" s="25"/>
    </row>
    <row r="4" spans="1:16" x14ac:dyDescent="0.3">
      <c r="A4" s="43"/>
      <c r="B4" s="40" t="s">
        <v>2</v>
      </c>
      <c r="C4" s="19" t="s">
        <v>5</v>
      </c>
      <c r="D4" s="26">
        <v>1.6282000000000001E-2</v>
      </c>
      <c r="E4" s="43"/>
      <c r="F4" s="1">
        <v>0.35627700000000001</v>
      </c>
      <c r="G4" s="53"/>
      <c r="H4" s="26">
        <v>9.4492999999999994E-2</v>
      </c>
      <c r="I4" s="53"/>
      <c r="J4" s="1">
        <v>2.9033869999999999</v>
      </c>
      <c r="K4" s="1">
        <v>16.70777</v>
      </c>
      <c r="L4" s="1">
        <v>0.8125</v>
      </c>
      <c r="M4" s="7">
        <v>1.6275630000000001</v>
      </c>
      <c r="N4" s="1">
        <f>ABS(-0.29859+0.654744)</f>
        <v>0.35615399999999997</v>
      </c>
      <c r="O4" s="1">
        <f>ABS(0.864473-0.79537)</f>
        <v>6.9103000000000026E-2</v>
      </c>
      <c r="P4" s="25" t="s">
        <v>20</v>
      </c>
    </row>
    <row r="5" spans="1:16" x14ac:dyDescent="0.3">
      <c r="A5" s="43"/>
      <c r="B5" s="39"/>
      <c r="C5" s="19" t="s">
        <v>6</v>
      </c>
      <c r="D5" s="26"/>
      <c r="E5" s="43"/>
      <c r="F5" s="1">
        <v>0.27351700000000001</v>
      </c>
      <c r="G5" s="54"/>
      <c r="H5" s="26"/>
      <c r="I5" s="53"/>
      <c r="J5" s="1">
        <v>2.13401</v>
      </c>
      <c r="K5" s="7">
        <v>11.605561</v>
      </c>
      <c r="L5" s="8">
        <v>0.76831499999999997</v>
      </c>
      <c r="M5" s="7">
        <v>1.494046</v>
      </c>
      <c r="N5" s="1">
        <f>ABS(0.266685+0.006696)</f>
        <v>0.27338099999999999</v>
      </c>
      <c r="O5" s="1">
        <f>ABS(0.971486-0.850546)</f>
        <v>0.12093999999999994</v>
      </c>
      <c r="P5" s="25"/>
    </row>
    <row r="6" spans="1:16" x14ac:dyDescent="0.3">
      <c r="A6" s="43"/>
      <c r="B6" s="40" t="s">
        <v>3</v>
      </c>
      <c r="C6" s="19" t="s">
        <v>5</v>
      </c>
      <c r="D6" s="26">
        <v>1.2845000000000001E-2</v>
      </c>
      <c r="E6" s="43"/>
      <c r="F6" s="1">
        <v>0.169598</v>
      </c>
      <c r="G6" s="55">
        <f>AVERAGE(F3,F5,F7,F9)</f>
        <v>0.23409774999999999</v>
      </c>
      <c r="H6" s="26">
        <v>0.45385999999999999</v>
      </c>
      <c r="I6" s="53"/>
      <c r="J6" s="1">
        <v>2.8135430000000001</v>
      </c>
      <c r="K6" s="1">
        <v>18.007072999999998</v>
      </c>
      <c r="L6" s="1">
        <v>0.91972399999999999</v>
      </c>
      <c r="M6" s="1">
        <v>2.962304</v>
      </c>
      <c r="N6" s="1">
        <f>ABS(-0.250999+0.084499)</f>
        <v>0.16650000000000004</v>
      </c>
      <c r="O6" s="1">
        <f>ABS(0.849607-0.978932)</f>
        <v>0.12932500000000002</v>
      </c>
      <c r="P6" s="25" t="s">
        <v>21</v>
      </c>
    </row>
    <row r="7" spans="1:16" x14ac:dyDescent="0.3">
      <c r="A7" s="43"/>
      <c r="B7" s="39"/>
      <c r="C7" s="19" t="s">
        <v>6</v>
      </c>
      <c r="D7" s="26"/>
      <c r="E7" s="43"/>
      <c r="F7" s="1">
        <v>0.25856800000000002</v>
      </c>
      <c r="G7" s="53"/>
      <c r="H7" s="26"/>
      <c r="I7" s="53"/>
      <c r="J7" s="1">
        <v>2.1489919999999998</v>
      </c>
      <c r="K7" s="1">
        <v>14.622308</v>
      </c>
      <c r="L7" s="7">
        <v>0.868093</v>
      </c>
      <c r="M7" s="1">
        <v>2.2110319999999999</v>
      </c>
      <c r="N7" s="1">
        <f>ABS(0.203228-0.461243)</f>
        <v>0.25801499999999999</v>
      </c>
      <c r="O7" s="7">
        <f>ABS(0.974248-1.026071)</f>
        <v>5.1822999999999952E-2</v>
      </c>
      <c r="P7" s="25"/>
    </row>
    <row r="8" spans="1:16" x14ac:dyDescent="0.3">
      <c r="A8" s="43"/>
      <c r="B8" s="40" t="s">
        <v>4</v>
      </c>
      <c r="C8" s="19" t="s">
        <v>5</v>
      </c>
      <c r="D8" s="26">
        <v>1.2751999999999999E-2</v>
      </c>
      <c r="E8" s="43"/>
      <c r="F8" s="7">
        <v>8.0328999999999998E-2</v>
      </c>
      <c r="G8" s="53"/>
      <c r="H8" s="35">
        <v>9.2188000000000006E-2</v>
      </c>
      <c r="I8" s="53"/>
      <c r="J8" s="7">
        <v>2.9335830000000001</v>
      </c>
      <c r="K8" s="7">
        <v>18.630338999999999</v>
      </c>
      <c r="L8" s="7">
        <v>0.94372699999999998</v>
      </c>
      <c r="M8" s="1">
        <v>3.0175149999999999</v>
      </c>
      <c r="N8" s="7">
        <f>ABS(0.439037-0.414858)</f>
        <v>2.4179000000000006E-2</v>
      </c>
      <c r="O8" s="7">
        <f>ABS(1.101687-1.150859)</f>
        <v>4.9171999999999993E-2</v>
      </c>
      <c r="P8" s="25" t="s">
        <v>22</v>
      </c>
    </row>
    <row r="9" spans="1:16" ht="14.5" thickBot="1" x14ac:dyDescent="0.35">
      <c r="A9" s="49"/>
      <c r="B9" s="50"/>
      <c r="C9" s="20" t="s">
        <v>6</v>
      </c>
      <c r="D9" s="65"/>
      <c r="E9" s="31"/>
      <c r="F9" s="12">
        <v>0.319326</v>
      </c>
      <c r="G9" s="56"/>
      <c r="H9" s="60"/>
      <c r="I9" s="56"/>
      <c r="J9" s="12">
        <v>1.9469989999999999</v>
      </c>
      <c r="K9" s="12">
        <v>13.719547</v>
      </c>
      <c r="L9" s="12">
        <v>0.88700199999999996</v>
      </c>
      <c r="M9" s="12">
        <v>1.917303</v>
      </c>
      <c r="N9" s="12">
        <f>ABS(-0.261805+0.580316)</f>
        <v>0.31851100000000004</v>
      </c>
      <c r="O9" s="16">
        <f>ABS(0.984403-0.993199)</f>
        <v>8.796000000000026E-3</v>
      </c>
      <c r="P9" s="25"/>
    </row>
    <row r="10" spans="1:16" ht="14.5" thickTop="1" x14ac:dyDescent="0.3">
      <c r="A10" s="64" t="s">
        <v>29</v>
      </c>
      <c r="B10" s="38" t="s">
        <v>1</v>
      </c>
      <c r="C10" s="21" t="s">
        <v>5</v>
      </c>
      <c r="D10" s="27">
        <v>9.7099999999999999E-3</v>
      </c>
      <c r="E10" s="58">
        <f>AVERAGE(D10:D17)</f>
        <v>1.0296E-2</v>
      </c>
      <c r="F10" s="2">
        <v>0.149976</v>
      </c>
      <c r="G10" s="59">
        <f>AVERAGE(F10,F12,F14,F16)</f>
        <v>0.1065</v>
      </c>
      <c r="H10" s="33">
        <v>0.39334599999999997</v>
      </c>
      <c r="I10" s="52">
        <f>AVERAGE(H10:H17)</f>
        <v>0.20508274999999998</v>
      </c>
      <c r="J10" s="2">
        <v>2.9950899999999998</v>
      </c>
      <c r="K10" s="13">
        <v>17.911068</v>
      </c>
      <c r="L10" s="2">
        <v>0.860348</v>
      </c>
      <c r="M10" s="6">
        <v>2.3350219999999999</v>
      </c>
      <c r="N10" s="2">
        <f>ABS(0.108486+0.040913)</f>
        <v>0.149399</v>
      </c>
      <c r="O10" s="2">
        <f>ABS(0.979171-0.908057)</f>
        <v>7.1114000000000011E-2</v>
      </c>
      <c r="P10" s="10"/>
    </row>
    <row r="11" spans="1:16" x14ac:dyDescent="0.3">
      <c r="A11" s="43"/>
      <c r="B11" s="39"/>
      <c r="C11" s="19" t="s">
        <v>6</v>
      </c>
      <c r="D11" s="28"/>
      <c r="E11" s="53"/>
      <c r="F11" s="1">
        <v>9.0858999999999995E-2</v>
      </c>
      <c r="G11" s="51"/>
      <c r="H11" s="34"/>
      <c r="I11" s="53"/>
      <c r="J11" s="7">
        <v>1.786797</v>
      </c>
      <c r="K11" s="2">
        <v>12.13386</v>
      </c>
      <c r="L11" s="1">
        <v>0.84741299999999997</v>
      </c>
      <c r="M11" s="7">
        <v>1.7242329999999999</v>
      </c>
      <c r="N11" s="1">
        <f>ABS(-0.207465+0.195983)</f>
        <v>1.148200000000002E-2</v>
      </c>
      <c r="O11" s="8">
        <f>ABS(0.956098-0.873821)</f>
        <v>8.2277000000000045E-2</v>
      </c>
      <c r="P11" s="10"/>
    </row>
    <row r="12" spans="1:16" x14ac:dyDescent="0.3">
      <c r="A12" s="43"/>
      <c r="B12" s="40" t="s">
        <v>2</v>
      </c>
      <c r="C12" s="19" t="s">
        <v>5</v>
      </c>
      <c r="D12" s="29">
        <v>9.7269999999999995E-3</v>
      </c>
      <c r="E12" s="53"/>
      <c r="F12" s="7">
        <v>2.1836000000000001E-2</v>
      </c>
      <c r="G12" s="51"/>
      <c r="H12" s="55">
        <v>2.7234999999999999E-2</v>
      </c>
      <c r="I12" s="53"/>
      <c r="J12" s="7">
        <v>2.542119</v>
      </c>
      <c r="K12" s="8">
        <v>15.490626000000001</v>
      </c>
      <c r="L12" s="7">
        <v>0.95615799999999995</v>
      </c>
      <c r="M12" s="1">
        <v>2.4023089999999998</v>
      </c>
      <c r="N12" s="7">
        <f>ABS(-0.29859+0.297622)</f>
        <v>9.680000000000244E-4</v>
      </c>
      <c r="O12" s="7">
        <f>ABS(0.864473-0.879302)</f>
        <v>1.4828999999999981E-2</v>
      </c>
      <c r="P12" s="10"/>
    </row>
    <row r="13" spans="1:16" x14ac:dyDescent="0.3">
      <c r="A13" s="43"/>
      <c r="B13" s="39"/>
      <c r="C13" s="19" t="s">
        <v>6</v>
      </c>
      <c r="D13" s="28"/>
      <c r="E13" s="53"/>
      <c r="F13" s="8">
        <v>0.21851499999999999</v>
      </c>
      <c r="G13" s="28"/>
      <c r="H13" s="54"/>
      <c r="I13" s="53"/>
      <c r="J13" s="8">
        <v>2.0125150000000001</v>
      </c>
      <c r="K13" s="1">
        <v>12.246746</v>
      </c>
      <c r="L13" s="7">
        <v>0.84626800000000002</v>
      </c>
      <c r="M13" s="1">
        <v>1.7016770000000001</v>
      </c>
      <c r="N13" s="8">
        <f>ABS(0.266685-0.04817)</f>
        <v>0.21851500000000001</v>
      </c>
      <c r="O13" s="8">
        <f>ABS(0.971486-0.858627)</f>
        <v>0.11285899999999993</v>
      </c>
      <c r="P13" s="10"/>
    </row>
    <row r="14" spans="1:16" x14ac:dyDescent="0.3">
      <c r="A14" s="43"/>
      <c r="B14" s="40" t="s">
        <v>3</v>
      </c>
      <c r="C14" s="19" t="s">
        <v>5</v>
      </c>
      <c r="D14" s="29">
        <v>9.9109999999999997E-3</v>
      </c>
      <c r="E14" s="53"/>
      <c r="F14" s="7">
        <v>3.9516999999999997E-2</v>
      </c>
      <c r="G14" s="29">
        <f>AVERAGE(F11,F13,F15,F17)</f>
        <v>0.135877</v>
      </c>
      <c r="H14" s="55">
        <v>0.105335</v>
      </c>
      <c r="I14" s="53"/>
      <c r="J14" s="8">
        <v>2.6284390000000002</v>
      </c>
      <c r="K14" s="8">
        <v>16.060974000000002</v>
      </c>
      <c r="L14" s="7">
        <v>0.94678399999999996</v>
      </c>
      <c r="M14" s="8">
        <v>2.5120140000000002</v>
      </c>
      <c r="N14" s="7">
        <f>ABS(-0.250999+0.235799)</f>
        <v>1.5200000000000019E-2</v>
      </c>
      <c r="O14" s="7">
        <f>ABS(0.849607-0.871873)</f>
        <v>2.2266000000000008E-2</v>
      </c>
      <c r="P14" s="10"/>
    </row>
    <row r="15" spans="1:16" x14ac:dyDescent="0.3">
      <c r="A15" s="43"/>
      <c r="B15" s="39"/>
      <c r="C15" s="19" t="s">
        <v>6</v>
      </c>
      <c r="D15" s="28"/>
      <c r="E15" s="53"/>
      <c r="F15" s="7">
        <v>0.15051200000000001</v>
      </c>
      <c r="G15" s="51"/>
      <c r="H15" s="54"/>
      <c r="I15" s="53"/>
      <c r="J15" s="7">
        <v>2.0239609999999999</v>
      </c>
      <c r="K15" s="7">
        <v>12.386016</v>
      </c>
      <c r="L15" s="8">
        <v>0.83989999999999998</v>
      </c>
      <c r="M15" s="7">
        <v>1.8077719999999999</v>
      </c>
      <c r="N15" s="7">
        <f>ABS(0.203228-0.091742)</f>
        <v>0.11148599999999999</v>
      </c>
      <c r="O15" s="1">
        <f>ABS(0.974248-0.847105)</f>
        <v>0.12714300000000001</v>
      </c>
      <c r="P15" s="10"/>
    </row>
    <row r="16" spans="1:16" x14ac:dyDescent="0.3">
      <c r="A16" s="43"/>
      <c r="B16" s="40" t="s">
        <v>4</v>
      </c>
      <c r="C16" s="19" t="s">
        <v>5</v>
      </c>
      <c r="D16" s="55">
        <v>1.1835999999999999E-2</v>
      </c>
      <c r="E16" s="53"/>
      <c r="F16" s="1">
        <v>0.214671</v>
      </c>
      <c r="G16" s="51"/>
      <c r="H16" s="30">
        <v>0.29441499999999998</v>
      </c>
      <c r="I16" s="53"/>
      <c r="J16" s="1">
        <v>3.0946090000000002</v>
      </c>
      <c r="K16" s="1">
        <v>22.009295000000002</v>
      </c>
      <c r="L16" s="1">
        <v>0.90806200000000004</v>
      </c>
      <c r="M16" s="8">
        <v>2.9141469999999998</v>
      </c>
      <c r="N16" s="1">
        <f>ABS(0.439037-0.226001)</f>
        <v>0.213036</v>
      </c>
      <c r="O16" s="1">
        <f>ABS(1.101687-1.005984)</f>
        <v>9.5703000000000094E-2</v>
      </c>
      <c r="P16" s="10"/>
    </row>
    <row r="17" spans="1:16" ht="14.5" thickBot="1" x14ac:dyDescent="0.35">
      <c r="A17" s="34"/>
      <c r="B17" s="38"/>
      <c r="C17" s="20" t="s">
        <v>6</v>
      </c>
      <c r="D17" s="56"/>
      <c r="E17" s="56"/>
      <c r="F17" s="14">
        <v>8.3622000000000002E-2</v>
      </c>
      <c r="G17" s="32"/>
      <c r="H17" s="31"/>
      <c r="I17" s="56"/>
      <c r="J17" s="16">
        <v>1.702447</v>
      </c>
      <c r="K17" s="16">
        <v>13.588039999999999</v>
      </c>
      <c r="L17" s="16">
        <v>0.900362</v>
      </c>
      <c r="M17" s="14">
        <v>1.880128</v>
      </c>
      <c r="N17" s="14">
        <f>ABS(-0.261805+0.236423)</f>
        <v>2.5382000000000016E-2</v>
      </c>
      <c r="O17" s="12">
        <f>ABS(0.984403-0.822181)</f>
        <v>0.16222199999999998</v>
      </c>
      <c r="P17" s="10"/>
    </row>
    <row r="18" spans="1:16" ht="14.5" thickTop="1" x14ac:dyDescent="0.3">
      <c r="A18" s="48" t="s">
        <v>24</v>
      </c>
      <c r="B18" s="63" t="s">
        <v>1</v>
      </c>
      <c r="C18" s="21" t="s">
        <v>5</v>
      </c>
      <c r="D18" s="34">
        <v>9.7310000000000001E-3</v>
      </c>
      <c r="E18" s="51">
        <f>AVERAGE(D18:D25)</f>
        <v>1.0061975000000001E-2</v>
      </c>
      <c r="F18" s="13">
        <v>0.101885</v>
      </c>
      <c r="G18" s="52">
        <f>AVERAGE(F18,F20,F22,F24)</f>
        <v>0.12032975000000001</v>
      </c>
      <c r="H18" s="54">
        <v>0.16908999999999999</v>
      </c>
      <c r="I18" s="51">
        <f>AVERAGE(H18:H25)</f>
        <v>0.157946</v>
      </c>
      <c r="J18" s="13">
        <v>2.8865229999999999</v>
      </c>
      <c r="K18" s="6">
        <v>17.198574000000001</v>
      </c>
      <c r="L18" s="13">
        <v>0.88209700000000002</v>
      </c>
      <c r="M18" s="13">
        <v>2.367032</v>
      </c>
      <c r="N18" s="13">
        <f>ABS(0.108486-0.026931)</f>
        <v>8.1555000000000002E-2</v>
      </c>
      <c r="O18" s="13">
        <f>ABS(0.979171-0.896029)</f>
        <v>8.3142000000000049E-2</v>
      </c>
    </row>
    <row r="19" spans="1:16" x14ac:dyDescent="0.3">
      <c r="A19" s="43"/>
      <c r="B19" s="39"/>
      <c r="C19" s="19" t="s">
        <v>6</v>
      </c>
      <c r="D19" s="26"/>
      <c r="E19" s="51"/>
      <c r="F19" s="8">
        <v>0.12531400000000001</v>
      </c>
      <c r="G19" s="53"/>
      <c r="H19" s="61"/>
      <c r="I19" s="51"/>
      <c r="J19" s="8">
        <v>1.806378</v>
      </c>
      <c r="K19" s="8">
        <v>13.053041</v>
      </c>
      <c r="L19" s="8">
        <v>0.86641500000000005</v>
      </c>
      <c r="M19" s="8">
        <v>1.800243</v>
      </c>
      <c r="N19" s="8">
        <f>ABS(-0.207465+0.083802)</f>
        <v>0.12366300000000001</v>
      </c>
      <c r="O19" s="7">
        <f>ABS(0.956098-0.946328)</f>
        <v>9.7700000000000564E-3</v>
      </c>
    </row>
    <row r="20" spans="1:16" x14ac:dyDescent="0.3">
      <c r="A20" s="43"/>
      <c r="B20" s="40" t="s">
        <v>2</v>
      </c>
      <c r="C20" s="19" t="s">
        <v>5</v>
      </c>
      <c r="D20" s="26">
        <v>1.0056000000000001E-2</v>
      </c>
      <c r="E20" s="51"/>
      <c r="F20" s="8">
        <v>6.6117999999999996E-2</v>
      </c>
      <c r="G20" s="53"/>
      <c r="H20" s="35">
        <v>6.4270000000000004E-3</v>
      </c>
      <c r="I20" s="51"/>
      <c r="J20" s="8">
        <v>2.5511180000000002</v>
      </c>
      <c r="K20" s="7">
        <v>15.465785</v>
      </c>
      <c r="L20" s="8">
        <v>0.93921699999999997</v>
      </c>
      <c r="M20" s="8">
        <v>2.3204920000000002</v>
      </c>
      <c r="N20" s="1">
        <f>ABS(-0.29859+0.247795)</f>
        <v>5.0795000000000035E-2</v>
      </c>
      <c r="O20" s="1">
        <f>ABS(0.864473-0.84603)</f>
        <v>1.8443000000000098E-2</v>
      </c>
    </row>
    <row r="21" spans="1:16" x14ac:dyDescent="0.3">
      <c r="A21" s="43"/>
      <c r="B21" s="39"/>
      <c r="C21" s="19" t="s">
        <v>6</v>
      </c>
      <c r="D21" s="26"/>
      <c r="E21" s="51"/>
      <c r="F21" s="7">
        <v>0.20639299999999999</v>
      </c>
      <c r="G21" s="54"/>
      <c r="H21" s="35"/>
      <c r="I21" s="51"/>
      <c r="J21" s="7">
        <v>1.9792069999999999</v>
      </c>
      <c r="K21" s="8">
        <v>11.972531</v>
      </c>
      <c r="L21" s="8">
        <v>0.80219799999999997</v>
      </c>
      <c r="M21" s="8">
        <v>1.581229</v>
      </c>
      <c r="N21" s="7">
        <f>ABS(0.266685-0.06057)</f>
        <v>0.20611499999999999</v>
      </c>
      <c r="O21" s="7">
        <f>ABS(0.971486-0.863235)</f>
        <v>0.10825099999999999</v>
      </c>
    </row>
    <row r="22" spans="1:16" x14ac:dyDescent="0.3">
      <c r="A22" s="43"/>
      <c r="B22" s="40" t="s">
        <v>3</v>
      </c>
      <c r="C22" s="19" t="s">
        <v>5</v>
      </c>
      <c r="D22" s="26">
        <v>1.0896899999999999E-2</v>
      </c>
      <c r="E22" s="51"/>
      <c r="F22" s="8">
        <v>8.8316000000000006E-2</v>
      </c>
      <c r="G22" s="55">
        <f>AVERAGE(F19,F21,F23,F25)</f>
        <v>0.16308975000000001</v>
      </c>
      <c r="H22" s="35">
        <v>4.1653999999999997E-2</v>
      </c>
      <c r="I22" s="51"/>
      <c r="J22" s="7">
        <v>2.6160549999999998</v>
      </c>
      <c r="K22" s="7">
        <v>15.352142000000001</v>
      </c>
      <c r="L22" s="8">
        <v>0.90590999999999999</v>
      </c>
      <c r="M22" s="7">
        <v>2.294524</v>
      </c>
      <c r="N22" s="1">
        <f>ABS(-0.250999+0.188842)</f>
        <v>6.2157000000000018E-2</v>
      </c>
      <c r="O22" s="1">
        <f>ABS(0.849607-0.798622)</f>
        <v>5.0984999999999947E-2</v>
      </c>
    </row>
    <row r="23" spans="1:16" x14ac:dyDescent="0.3">
      <c r="A23" s="43"/>
      <c r="B23" s="39"/>
      <c r="C23" s="19" t="s">
        <v>6</v>
      </c>
      <c r="D23" s="26"/>
      <c r="E23" s="51"/>
      <c r="F23" s="8">
        <v>0.23302</v>
      </c>
      <c r="G23" s="53"/>
      <c r="H23" s="35"/>
      <c r="I23" s="51"/>
      <c r="J23" s="8">
        <v>2.1261450000000002</v>
      </c>
      <c r="K23" s="8">
        <v>13.690543999999999</v>
      </c>
      <c r="L23" s="8">
        <v>0.83435199999999998</v>
      </c>
      <c r="M23" s="8">
        <v>1.840373</v>
      </c>
      <c r="N23" s="1">
        <f>ABS(0.203228+0.02926)</f>
        <v>0.232488</v>
      </c>
      <c r="O23" s="1">
        <f>ABS(0.974248-0.857136)</f>
        <v>0.11711199999999999</v>
      </c>
    </row>
    <row r="24" spans="1:16" x14ac:dyDescent="0.3">
      <c r="A24" s="43"/>
      <c r="B24" s="40" t="s">
        <v>4</v>
      </c>
      <c r="C24" s="19" t="s">
        <v>5</v>
      </c>
      <c r="D24" s="35">
        <v>9.5639999999999996E-3</v>
      </c>
      <c r="E24" s="51"/>
      <c r="F24" s="8">
        <v>0.22500000000000001</v>
      </c>
      <c r="G24" s="53"/>
      <c r="H24" s="61">
        <v>0.41461300000000001</v>
      </c>
      <c r="I24" s="51"/>
      <c r="J24" s="8">
        <v>3.1210149999999999</v>
      </c>
      <c r="K24" s="8">
        <v>18.805600999999999</v>
      </c>
      <c r="L24" s="8">
        <v>0.89368199999999998</v>
      </c>
      <c r="M24" s="7">
        <v>2.8837549999999998</v>
      </c>
      <c r="N24" s="1">
        <f>ABS(0.439037-0.215602)</f>
        <v>0.22343500000000002</v>
      </c>
      <c r="O24" s="1">
        <f>ABS(1.101687-0.981232)</f>
        <v>0.12045500000000009</v>
      </c>
    </row>
    <row r="25" spans="1:16" ht="14.5" thickBot="1" x14ac:dyDescent="0.35">
      <c r="A25" s="43"/>
      <c r="B25" s="41"/>
      <c r="C25" s="20" t="s">
        <v>6</v>
      </c>
      <c r="D25" s="60"/>
      <c r="E25" s="32"/>
      <c r="F25" s="16">
        <v>8.7632000000000002E-2</v>
      </c>
      <c r="G25" s="56"/>
      <c r="H25" s="62"/>
      <c r="I25" s="51"/>
      <c r="J25" s="14">
        <v>1.6898359999999999</v>
      </c>
      <c r="K25" s="14">
        <v>12.689178</v>
      </c>
      <c r="L25" s="14">
        <v>0.91383599999999998</v>
      </c>
      <c r="M25" s="16">
        <v>2.0509230000000001</v>
      </c>
      <c r="N25" s="12">
        <f>ABS(-0.261805+0.183797)</f>
        <v>7.8008000000000022E-2</v>
      </c>
      <c r="O25" s="14">
        <f>ABS(0.984403-0.981618)</f>
        <v>2.7850000000000374E-3</v>
      </c>
    </row>
    <row r="26" spans="1:16" ht="14.5" thickTop="1" x14ac:dyDescent="0.3">
      <c r="A26" s="48" t="s">
        <v>28</v>
      </c>
      <c r="B26" s="38" t="s">
        <v>1</v>
      </c>
      <c r="C26" s="21" t="s">
        <v>5</v>
      </c>
      <c r="D26" s="46"/>
      <c r="E26" s="57"/>
      <c r="F26" s="6"/>
      <c r="G26" s="52"/>
      <c r="H26" s="28"/>
      <c r="I26" s="52"/>
      <c r="J26" s="6"/>
      <c r="K26" s="2"/>
      <c r="L26" s="6"/>
      <c r="M26" s="2"/>
      <c r="N26" s="6"/>
      <c r="O26" s="6"/>
      <c r="P26" s="25" t="s">
        <v>19</v>
      </c>
    </row>
    <row r="27" spans="1:16" x14ac:dyDescent="0.3">
      <c r="A27" s="43"/>
      <c r="B27" s="39"/>
      <c r="C27" s="19" t="s">
        <v>6</v>
      </c>
      <c r="D27" s="47"/>
      <c r="E27" s="43"/>
      <c r="F27" s="7"/>
      <c r="G27" s="53"/>
      <c r="H27" s="35"/>
      <c r="I27" s="53"/>
      <c r="J27" s="1"/>
      <c r="K27" s="7"/>
      <c r="L27" s="7"/>
      <c r="M27" s="1"/>
      <c r="N27" s="7"/>
      <c r="O27" s="1"/>
      <c r="P27" s="25"/>
    </row>
    <row r="28" spans="1:16" x14ac:dyDescent="0.3">
      <c r="A28" s="43"/>
      <c r="B28" s="40" t="s">
        <v>2</v>
      </c>
      <c r="C28" s="19" t="s">
        <v>5</v>
      </c>
      <c r="D28" s="26"/>
      <c r="E28" s="43"/>
      <c r="F28" s="1"/>
      <c r="G28" s="53"/>
      <c r="H28" s="26"/>
      <c r="I28" s="53"/>
      <c r="J28" s="1"/>
      <c r="K28" s="1"/>
      <c r="L28" s="1"/>
      <c r="M28" s="7"/>
      <c r="N28" s="1"/>
      <c r="O28" s="1"/>
      <c r="P28" s="25" t="s">
        <v>20</v>
      </c>
    </row>
    <row r="29" spans="1:16" x14ac:dyDescent="0.3">
      <c r="A29" s="43"/>
      <c r="B29" s="39"/>
      <c r="C29" s="19" t="s">
        <v>6</v>
      </c>
      <c r="D29" s="26"/>
      <c r="E29" s="43"/>
      <c r="F29" s="1"/>
      <c r="G29" s="54"/>
      <c r="H29" s="26"/>
      <c r="I29" s="53"/>
      <c r="J29" s="1"/>
      <c r="K29" s="7"/>
      <c r="L29" s="8"/>
      <c r="M29" s="7"/>
      <c r="N29" s="1"/>
      <c r="O29" s="1"/>
      <c r="P29" s="25"/>
    </row>
    <row r="30" spans="1:16" x14ac:dyDescent="0.3">
      <c r="A30" s="43"/>
      <c r="B30" s="40" t="s">
        <v>3</v>
      </c>
      <c r="C30" s="19" t="s">
        <v>5</v>
      </c>
      <c r="D30" s="26"/>
      <c r="E30" s="43"/>
      <c r="F30" s="1"/>
      <c r="G30" s="55"/>
      <c r="H30" s="26"/>
      <c r="I30" s="53"/>
      <c r="J30" s="1"/>
      <c r="K30" s="1"/>
      <c r="L30" s="1"/>
      <c r="M30" s="1"/>
      <c r="N30" s="1"/>
      <c r="O30" s="1"/>
      <c r="P30" s="25" t="s">
        <v>21</v>
      </c>
    </row>
    <row r="31" spans="1:16" x14ac:dyDescent="0.3">
      <c r="A31" s="43"/>
      <c r="B31" s="39"/>
      <c r="C31" s="19" t="s">
        <v>6</v>
      </c>
      <c r="D31" s="26"/>
      <c r="E31" s="43"/>
      <c r="F31" s="1"/>
      <c r="G31" s="53"/>
      <c r="H31" s="26"/>
      <c r="I31" s="53"/>
      <c r="J31" s="1"/>
      <c r="K31" s="1"/>
      <c r="L31" s="7"/>
      <c r="M31" s="1"/>
      <c r="N31" s="1"/>
      <c r="O31" s="7"/>
      <c r="P31" s="25"/>
    </row>
    <row r="32" spans="1:16" x14ac:dyDescent="0.3">
      <c r="A32" s="43"/>
      <c r="B32" s="40" t="s">
        <v>4</v>
      </c>
      <c r="C32" s="19" t="s">
        <v>5</v>
      </c>
      <c r="D32" s="26"/>
      <c r="E32" s="43"/>
      <c r="F32" s="7"/>
      <c r="G32" s="53"/>
      <c r="H32" s="35"/>
      <c r="I32" s="53"/>
      <c r="J32" s="7"/>
      <c r="K32" s="7"/>
      <c r="L32" s="7"/>
      <c r="M32" s="1"/>
      <c r="N32" s="7"/>
      <c r="O32" s="7"/>
      <c r="P32" s="25" t="s">
        <v>22</v>
      </c>
    </row>
    <row r="33" spans="1:16" ht="14.5" thickBot="1" x14ac:dyDescent="0.35">
      <c r="A33" s="49"/>
      <c r="B33" s="50"/>
      <c r="C33" s="20" t="s">
        <v>6</v>
      </c>
      <c r="D33" s="65"/>
      <c r="E33" s="31"/>
      <c r="F33" s="12"/>
      <c r="G33" s="56"/>
      <c r="H33" s="60"/>
      <c r="I33" s="56"/>
      <c r="J33" s="12"/>
      <c r="K33" s="12"/>
      <c r="L33" s="12"/>
      <c r="M33" s="12"/>
      <c r="N33" s="12"/>
      <c r="O33" s="16"/>
      <c r="P33" s="25"/>
    </row>
    <row r="34" spans="1:16" ht="14.5" thickTop="1" x14ac:dyDescent="0.3">
      <c r="A34" s="15"/>
      <c r="B34" s="15"/>
      <c r="I34" s="24"/>
    </row>
    <row r="35" spans="1:16" x14ac:dyDescent="0.3">
      <c r="D35" s="26" t="s">
        <v>23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</sheetData>
  <mergeCells count="78">
    <mergeCell ref="H32:H33"/>
    <mergeCell ref="P32:P33"/>
    <mergeCell ref="P26:P27"/>
    <mergeCell ref="B28:B29"/>
    <mergeCell ref="D28:D29"/>
    <mergeCell ref="H28:H29"/>
    <mergeCell ref="P28:P29"/>
    <mergeCell ref="B30:B31"/>
    <mergeCell ref="D30:D31"/>
    <mergeCell ref="G30:G33"/>
    <mergeCell ref="H30:H31"/>
    <mergeCell ref="P30:P31"/>
    <mergeCell ref="D35:O35"/>
    <mergeCell ref="A26:A33"/>
    <mergeCell ref="B26:B27"/>
    <mergeCell ref="D26:D27"/>
    <mergeCell ref="E26:E33"/>
    <mergeCell ref="G26:G29"/>
    <mergeCell ref="H26:H27"/>
    <mergeCell ref="I26:I33"/>
    <mergeCell ref="B32:B33"/>
    <mergeCell ref="D32:D33"/>
    <mergeCell ref="I18:I25"/>
    <mergeCell ref="B20:B21"/>
    <mergeCell ref="D20:D21"/>
    <mergeCell ref="H20:H21"/>
    <mergeCell ref="B22:B23"/>
    <mergeCell ref="D22:D23"/>
    <mergeCell ref="G22:G25"/>
    <mergeCell ref="H22:H23"/>
    <mergeCell ref="B24:B25"/>
    <mergeCell ref="D24:D25"/>
    <mergeCell ref="A18:A25"/>
    <mergeCell ref="B18:B19"/>
    <mergeCell ref="D18:D19"/>
    <mergeCell ref="E18:E25"/>
    <mergeCell ref="G18:G21"/>
    <mergeCell ref="H18:H19"/>
    <mergeCell ref="H24:H25"/>
    <mergeCell ref="I10:I17"/>
    <mergeCell ref="B12:B13"/>
    <mergeCell ref="D12:D13"/>
    <mergeCell ref="H12:H13"/>
    <mergeCell ref="B14:B15"/>
    <mergeCell ref="D14:D15"/>
    <mergeCell ref="G14:G17"/>
    <mergeCell ref="H14:H15"/>
    <mergeCell ref="B16:B17"/>
    <mergeCell ref="D16:D17"/>
    <mergeCell ref="A10:A17"/>
    <mergeCell ref="B10:B11"/>
    <mergeCell ref="D10:D11"/>
    <mergeCell ref="E10:E17"/>
    <mergeCell ref="G10:G13"/>
    <mergeCell ref="H10:H11"/>
    <mergeCell ref="H16:H17"/>
    <mergeCell ref="H6:H7"/>
    <mergeCell ref="P6:P7"/>
    <mergeCell ref="B8:B9"/>
    <mergeCell ref="D8:D9"/>
    <mergeCell ref="H8:H9"/>
    <mergeCell ref="P8:P9"/>
    <mergeCell ref="H2:H3"/>
    <mergeCell ref="I2:I9"/>
    <mergeCell ref="P2:P3"/>
    <mergeCell ref="B4:B5"/>
    <mergeCell ref="D4:D5"/>
    <mergeCell ref="H4:H5"/>
    <mergeCell ref="P4:P5"/>
    <mergeCell ref="B6:B7"/>
    <mergeCell ref="D6:D7"/>
    <mergeCell ref="G6:G9"/>
    <mergeCell ref="A1:B1"/>
    <mergeCell ref="A2:A9"/>
    <mergeCell ref="B2:B3"/>
    <mergeCell ref="D2:D3"/>
    <mergeCell ref="E2:E9"/>
    <mergeCell ref="G2:G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56516</dc:creator>
  <cp:lastModifiedBy>56516</cp:lastModifiedBy>
  <dcterms:created xsi:type="dcterms:W3CDTF">2026-06-16T07:54:12Z</dcterms:created>
  <dcterms:modified xsi:type="dcterms:W3CDTF">2026-06-18T02:04:28Z</dcterms:modified>
</cp:coreProperties>
</file>